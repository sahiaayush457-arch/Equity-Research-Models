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E2809B-BAD6-4828-A48D-FC9C19566176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cash flow " sheetId="5" r:id="rId6"/>
    <sheet name="historical sf " sheetId="8" r:id="rId7"/>
    <sheet name="fiancials&gt;" sheetId="7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7" i="8" l="1"/>
  <c r="E107" i="8"/>
  <c r="F107" i="8"/>
  <c r="G107" i="8"/>
  <c r="H107" i="8"/>
  <c r="I107" i="8"/>
  <c r="J107" i="8"/>
  <c r="K107" i="8"/>
  <c r="L107" i="8"/>
  <c r="C107" i="8"/>
  <c r="D105" i="8"/>
  <c r="E105" i="8"/>
  <c r="F105" i="8"/>
  <c r="G105" i="8"/>
  <c r="H105" i="8"/>
  <c r="I105" i="8"/>
  <c r="J105" i="8"/>
  <c r="K105" i="8"/>
  <c r="L105" i="8"/>
  <c r="C105" i="8"/>
  <c r="C98" i="8"/>
  <c r="L98" i="8"/>
  <c r="L99" i="8"/>
  <c r="L100" i="8"/>
  <c r="L101" i="8"/>
  <c r="L102" i="8"/>
  <c r="L103" i="8"/>
  <c r="L104" i="8"/>
  <c r="D98" i="8"/>
  <c r="E98" i="8"/>
  <c r="F98" i="8"/>
  <c r="G98" i="8"/>
  <c r="H98" i="8"/>
  <c r="I98" i="8"/>
  <c r="J98" i="8"/>
  <c r="K98" i="8"/>
  <c r="D99" i="8"/>
  <c r="E99" i="8"/>
  <c r="F99" i="8"/>
  <c r="G99" i="8"/>
  <c r="H99" i="8"/>
  <c r="I99" i="8"/>
  <c r="J99" i="8"/>
  <c r="K99" i="8"/>
  <c r="D100" i="8"/>
  <c r="E100" i="8"/>
  <c r="F100" i="8"/>
  <c r="G100" i="8"/>
  <c r="H100" i="8"/>
  <c r="I100" i="8"/>
  <c r="J100" i="8"/>
  <c r="K100" i="8"/>
  <c r="D101" i="8"/>
  <c r="E101" i="8"/>
  <c r="F101" i="8"/>
  <c r="G101" i="8"/>
  <c r="H101" i="8"/>
  <c r="I101" i="8"/>
  <c r="J101" i="8"/>
  <c r="K101" i="8"/>
  <c r="D102" i="8"/>
  <c r="E102" i="8"/>
  <c r="F102" i="8"/>
  <c r="G102" i="8"/>
  <c r="H102" i="8"/>
  <c r="I102" i="8"/>
  <c r="J102" i="8"/>
  <c r="K102" i="8"/>
  <c r="D103" i="8"/>
  <c r="E103" i="8"/>
  <c r="F103" i="8"/>
  <c r="G103" i="8"/>
  <c r="H103" i="8"/>
  <c r="I103" i="8"/>
  <c r="J103" i="8"/>
  <c r="K103" i="8"/>
  <c r="D104" i="8"/>
  <c r="E104" i="8"/>
  <c r="F104" i="8"/>
  <c r="G104" i="8"/>
  <c r="H104" i="8"/>
  <c r="I104" i="8"/>
  <c r="J104" i="8"/>
  <c r="K104" i="8"/>
  <c r="C99" i="8"/>
  <c r="C100" i="8"/>
  <c r="C101" i="8"/>
  <c r="C102" i="8"/>
  <c r="C103" i="8"/>
  <c r="C104" i="8"/>
  <c r="D95" i="8"/>
  <c r="E95" i="8"/>
  <c r="F95" i="8"/>
  <c r="G95" i="8"/>
  <c r="H95" i="8"/>
  <c r="I95" i="8"/>
  <c r="J95" i="8"/>
  <c r="K95" i="8"/>
  <c r="L95" i="8"/>
  <c r="C95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D92" i="8"/>
  <c r="E92" i="8"/>
  <c r="F92" i="8"/>
  <c r="G92" i="8"/>
  <c r="H92" i="8"/>
  <c r="I92" i="8"/>
  <c r="J92" i="8"/>
  <c r="K92" i="8"/>
  <c r="L92" i="8"/>
  <c r="D93" i="8"/>
  <c r="E93" i="8"/>
  <c r="F93" i="8"/>
  <c r="G93" i="8"/>
  <c r="H93" i="8"/>
  <c r="I93" i="8"/>
  <c r="J93" i="8"/>
  <c r="K93" i="8"/>
  <c r="L93" i="8"/>
  <c r="D94" i="8"/>
  <c r="E94" i="8"/>
  <c r="F94" i="8"/>
  <c r="G94" i="8"/>
  <c r="H94" i="8"/>
  <c r="I94" i="8"/>
  <c r="J94" i="8"/>
  <c r="K94" i="8"/>
  <c r="L94" i="8"/>
  <c r="C94" i="8"/>
  <c r="C85" i="8"/>
  <c r="C86" i="8"/>
  <c r="C87" i="8"/>
  <c r="C88" i="8"/>
  <c r="C89" i="8"/>
  <c r="C90" i="8"/>
  <c r="C91" i="8"/>
  <c r="C92" i="8"/>
  <c r="C93" i="8"/>
  <c r="C84" i="8"/>
  <c r="C9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C74" i="8"/>
  <c r="C75" i="8"/>
  <c r="C76" i="8"/>
  <c r="C77" i="8"/>
  <c r="C78" i="8"/>
  <c r="C79" i="8"/>
  <c r="C80" i="8"/>
  <c r="C73" i="8"/>
  <c r="D58" i="8"/>
  <c r="E58" i="8"/>
  <c r="F58" i="8"/>
  <c r="G58" i="8"/>
  <c r="H58" i="8"/>
  <c r="I58" i="8"/>
  <c r="J58" i="8"/>
  <c r="K58" i="8"/>
  <c r="L58" i="8"/>
  <c r="C58" i="8"/>
  <c r="C61" i="8"/>
  <c r="D61" i="8"/>
  <c r="E61" i="8"/>
  <c r="F61" i="8"/>
  <c r="G61" i="8"/>
  <c r="H61" i="8"/>
  <c r="I61" i="8"/>
  <c r="J61" i="8"/>
  <c r="K61" i="8"/>
  <c r="L61" i="8"/>
  <c r="D62" i="8"/>
  <c r="E62" i="8"/>
  <c r="F62" i="8"/>
  <c r="G62" i="8"/>
  <c r="H62" i="8"/>
  <c r="I62" i="8"/>
  <c r="J62" i="8"/>
  <c r="K62" i="8"/>
  <c r="L62" i="8"/>
  <c r="D63" i="8"/>
  <c r="E63" i="8"/>
  <c r="F63" i="8"/>
  <c r="G63" i="8"/>
  <c r="H63" i="8"/>
  <c r="I63" i="8"/>
  <c r="J63" i="8"/>
  <c r="K63" i="8"/>
  <c r="L63" i="8"/>
  <c r="C62" i="8"/>
  <c r="C63" i="8"/>
  <c r="D53" i="8"/>
  <c r="E53" i="8"/>
  <c r="F53" i="8"/>
  <c r="G53" i="8"/>
  <c r="H53" i="8"/>
  <c r="I53" i="8"/>
  <c r="J53" i="8"/>
  <c r="K53" i="8"/>
  <c r="L53" i="8"/>
  <c r="C53" i="8"/>
  <c r="D55" i="8"/>
  <c r="E55" i="8"/>
  <c r="F55" i="8"/>
  <c r="G55" i="8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D57" i="8"/>
  <c r="E57" i="8"/>
  <c r="F57" i="8"/>
  <c r="G57" i="8"/>
  <c r="H57" i="8"/>
  <c r="I57" i="8"/>
  <c r="J57" i="8"/>
  <c r="K57" i="8"/>
  <c r="L57" i="8"/>
  <c r="C56" i="8"/>
  <c r="C57" i="8"/>
  <c r="C55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D52" i="8"/>
  <c r="E52" i="8"/>
  <c r="F52" i="8"/>
  <c r="G52" i="8"/>
  <c r="H52" i="8"/>
  <c r="I52" i="8"/>
  <c r="J52" i="8"/>
  <c r="K52" i="8"/>
  <c r="L52" i="8"/>
  <c r="C50" i="8"/>
  <c r="C51" i="8"/>
  <c r="C52" i="8"/>
  <c r="C49" i="8"/>
  <c r="C20" i="8"/>
  <c r="D20" i="8"/>
  <c r="E20" i="8"/>
  <c r="F20" i="8"/>
  <c r="G20" i="8"/>
  <c r="H20" i="8"/>
  <c r="I20" i="8"/>
  <c r="J20" i="8"/>
  <c r="K20" i="8"/>
  <c r="L20" i="8"/>
  <c r="M20" i="8"/>
  <c r="D35" i="8"/>
  <c r="D40" i="8" s="1"/>
  <c r="E35" i="8"/>
  <c r="E40" i="8" s="1"/>
  <c r="F35" i="8"/>
  <c r="F40" i="8" s="1"/>
  <c r="G35" i="8"/>
  <c r="G40" i="8" s="1"/>
  <c r="H35" i="8"/>
  <c r="H40" i="8" s="1"/>
  <c r="I35" i="8"/>
  <c r="I40" i="8" s="1"/>
  <c r="J35" i="8"/>
  <c r="J40" i="8" s="1"/>
  <c r="K35" i="8"/>
  <c r="K40" i="8" s="1"/>
  <c r="L35" i="8"/>
  <c r="L40" i="8" s="1"/>
  <c r="M35" i="8"/>
  <c r="M40" i="8" s="1"/>
  <c r="C35" i="8"/>
  <c r="C40" i="8" s="1"/>
  <c r="M23" i="6"/>
  <c r="M14" i="8" s="1"/>
  <c r="L24" i="6"/>
  <c r="L23" i="6"/>
  <c r="L14" i="8"/>
  <c r="M29" i="8"/>
  <c r="D29" i="8"/>
  <c r="E29" i="8"/>
  <c r="F29" i="8"/>
  <c r="G29" i="8"/>
  <c r="H29" i="8"/>
  <c r="I29" i="8"/>
  <c r="J29" i="8"/>
  <c r="K29" i="8"/>
  <c r="L29" i="8"/>
  <c r="C29" i="8"/>
  <c r="M23" i="8"/>
  <c r="D23" i="8"/>
  <c r="E23" i="8"/>
  <c r="F23" i="8"/>
  <c r="G23" i="8"/>
  <c r="H23" i="8"/>
  <c r="I23" i="8"/>
  <c r="J23" i="8"/>
  <c r="K23" i="8"/>
  <c r="L23" i="8"/>
  <c r="C23" i="8"/>
  <c r="D14" i="8"/>
  <c r="E14" i="8"/>
  <c r="F14" i="8"/>
  <c r="G14" i="8"/>
  <c r="H14" i="8"/>
  <c r="I14" i="8"/>
  <c r="J14" i="8"/>
  <c r="K14" i="8"/>
  <c r="C14" i="8"/>
  <c r="M9" i="8"/>
  <c r="D9" i="8"/>
  <c r="E9" i="8"/>
  <c r="F9" i="8"/>
  <c r="G9" i="8"/>
  <c r="H9" i="8"/>
  <c r="I9" i="8"/>
  <c r="J9" i="8"/>
  <c r="K9" i="8"/>
  <c r="L9" i="8"/>
  <c r="D6" i="8"/>
  <c r="M6" i="8"/>
  <c r="M27" i="8" s="1"/>
  <c r="E6" i="8"/>
  <c r="F6" i="8"/>
  <c r="G6" i="8"/>
  <c r="H6" i="8"/>
  <c r="I6" i="8"/>
  <c r="J6" i="8"/>
  <c r="K6" i="8"/>
  <c r="L6" i="8"/>
  <c r="C6" i="8"/>
  <c r="L4" i="8"/>
  <c r="I4" i="8"/>
  <c r="J4" i="8"/>
  <c r="K4" i="8"/>
  <c r="D4" i="8"/>
  <c r="E4" i="8"/>
  <c r="F4" i="8"/>
  <c r="G4" i="8"/>
  <c r="H4" i="8"/>
  <c r="C4" i="8"/>
  <c r="B2" i="8"/>
  <c r="N66" i="8"/>
  <c r="N9" i="8"/>
  <c r="N26" i="8"/>
  <c r="N40" i="8"/>
  <c r="N58" i="8"/>
  <c r="N43" i="8"/>
  <c r="D7" i="8" l="1"/>
  <c r="G81" i="8"/>
  <c r="F81" i="8"/>
  <c r="H81" i="8"/>
  <c r="E59" i="8"/>
  <c r="I81" i="8"/>
  <c r="E81" i="8"/>
  <c r="L81" i="8"/>
  <c r="D81" i="8"/>
  <c r="C81" i="8"/>
  <c r="K81" i="8"/>
  <c r="J81" i="8"/>
  <c r="J64" i="8"/>
  <c r="C59" i="8"/>
  <c r="I64" i="8"/>
  <c r="C64" i="8"/>
  <c r="C66" i="8" s="1"/>
  <c r="C68" i="8" s="1"/>
  <c r="G59" i="8"/>
  <c r="L64" i="8"/>
  <c r="D64" i="8"/>
  <c r="F64" i="8"/>
  <c r="D59" i="8"/>
  <c r="F59" i="8"/>
  <c r="E64" i="8"/>
  <c r="E66" i="8" s="1"/>
  <c r="E68" i="8" s="1"/>
  <c r="K59" i="8"/>
  <c r="J59" i="8"/>
  <c r="H64" i="8"/>
  <c r="L59" i="8"/>
  <c r="K64" i="8"/>
  <c r="I59" i="8"/>
  <c r="H59" i="8"/>
  <c r="G64" i="8"/>
  <c r="E24" i="8"/>
  <c r="M37" i="8"/>
  <c r="M43" i="8" s="1"/>
  <c r="C24" i="8"/>
  <c r="J30" i="8"/>
  <c r="C15" i="8"/>
  <c r="F7" i="8"/>
  <c r="J15" i="8"/>
  <c r="J24" i="8"/>
  <c r="E30" i="8"/>
  <c r="I24" i="8"/>
  <c r="I15" i="8"/>
  <c r="I7" i="8"/>
  <c r="L15" i="8"/>
  <c r="K21" i="8"/>
  <c r="E15" i="8"/>
  <c r="C12" i="8"/>
  <c r="C17" i="8" s="1"/>
  <c r="E10" i="8"/>
  <c r="G15" i="8"/>
  <c r="H12" i="8"/>
  <c r="H17" i="8" s="1"/>
  <c r="L10" i="8"/>
  <c r="D10" i="8"/>
  <c r="G12" i="8"/>
  <c r="G17" i="8" s="1"/>
  <c r="E21" i="8"/>
  <c r="D30" i="8"/>
  <c r="L30" i="8"/>
  <c r="M7" i="8"/>
  <c r="K10" i="8"/>
  <c r="H15" i="8"/>
  <c r="L21" i="8"/>
  <c r="D21" i="8"/>
  <c r="K30" i="8"/>
  <c r="M30" i="8"/>
  <c r="J12" i="8"/>
  <c r="J17" i="8" s="1"/>
  <c r="I10" i="8"/>
  <c r="M10" i="8"/>
  <c r="F15" i="8"/>
  <c r="F24" i="8"/>
  <c r="I30" i="8"/>
  <c r="D12" i="8"/>
  <c r="D17" i="8" s="1"/>
  <c r="F12" i="8"/>
  <c r="F17" i="8" s="1"/>
  <c r="L7" i="8"/>
  <c r="I21" i="8"/>
  <c r="H30" i="8"/>
  <c r="F21" i="8"/>
  <c r="E7" i="8"/>
  <c r="D15" i="8"/>
  <c r="L24" i="8"/>
  <c r="D24" i="8"/>
  <c r="G30" i="8"/>
  <c r="C21" i="8"/>
  <c r="G7" i="8"/>
  <c r="C10" i="8"/>
  <c r="K15" i="8"/>
  <c r="G21" i="8"/>
  <c r="K24" i="8"/>
  <c r="F30" i="8"/>
  <c r="K7" i="8"/>
  <c r="M12" i="8"/>
  <c r="E12" i="8"/>
  <c r="E17" i="8" s="1"/>
  <c r="M15" i="8"/>
  <c r="H24" i="8"/>
  <c r="J7" i="8"/>
  <c r="G10" i="8"/>
  <c r="J10" i="8"/>
  <c r="L12" i="8"/>
  <c r="L17" i="8" s="1"/>
  <c r="J21" i="8"/>
  <c r="G24" i="8"/>
  <c r="C30" i="8"/>
  <c r="K12" i="8"/>
  <c r="K17" i="8" s="1"/>
  <c r="H7" i="8"/>
  <c r="H10" i="8"/>
  <c r="M18" i="8"/>
  <c r="H21" i="8"/>
  <c r="I12" i="8"/>
  <c r="I17" i="8" s="1"/>
  <c r="M21" i="8"/>
  <c r="F10" i="8"/>
  <c r="M24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G7" i="2"/>
  <c r="H7" i="2"/>
  <c r="I7" i="2"/>
  <c r="I16" i="2" s="1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L12" i="1" s="1"/>
  <c r="L13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F4" i="1"/>
  <c r="F20" i="2" s="1"/>
  <c r="G4" i="1"/>
  <c r="H4" i="1"/>
  <c r="H21" i="2" s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D23" i="2" s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G14" i="1" s="1"/>
  <c r="H15" i="1"/>
  <c r="I15" i="1"/>
  <c r="I14" i="1" s="1"/>
  <c r="J15" i="1"/>
  <c r="K15" i="1"/>
  <c r="B15" i="1"/>
  <c r="H13" i="1"/>
  <c r="I13" i="1"/>
  <c r="B7" i="1"/>
  <c r="B4" i="1"/>
  <c r="B20" i="2" s="1"/>
  <c r="A1" i="1"/>
  <c r="A1" i="3" s="1"/>
  <c r="E1" i="6"/>
  <c r="H1" i="1" s="1"/>
  <c r="H16" i="2"/>
  <c r="K23" i="2"/>
  <c r="G23" i="2"/>
  <c r="E6" i="1"/>
  <c r="E19" i="1"/>
  <c r="H23" i="2"/>
  <c r="I6" i="1"/>
  <c r="I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G21" i="2"/>
  <c r="F21" i="2"/>
  <c r="E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20" i="2"/>
  <c r="J20" i="2"/>
  <c r="E20" i="2"/>
  <c r="L6" i="1"/>
  <c r="L4" i="1"/>
  <c r="L5" i="1"/>
  <c r="J66" i="8" l="1"/>
  <c r="J68" i="8" s="1"/>
  <c r="F66" i="8"/>
  <c r="F68" i="8" s="1"/>
  <c r="G66" i="8"/>
  <c r="G68" i="8" s="1"/>
  <c r="I66" i="8"/>
  <c r="I68" i="8" s="1"/>
  <c r="H66" i="8"/>
  <c r="H68" i="8" s="1"/>
  <c r="D66" i="8"/>
  <c r="D68" i="8" s="1"/>
  <c r="L66" i="8"/>
  <c r="L68" i="8" s="1"/>
  <c r="K66" i="8"/>
  <c r="K68" i="8" s="1"/>
  <c r="F18" i="8"/>
  <c r="F26" i="8"/>
  <c r="C18" i="8"/>
  <c r="C26" i="8"/>
  <c r="K24" i="2"/>
  <c r="D18" i="8"/>
  <c r="D26" i="8"/>
  <c r="L23" i="1"/>
  <c r="H14" i="1"/>
  <c r="G18" i="8"/>
  <c r="G26" i="8"/>
  <c r="A1" i="2"/>
  <c r="A1" i="4" s="1"/>
  <c r="K18" i="8"/>
  <c r="K26" i="8"/>
  <c r="J21" i="2"/>
  <c r="F14" i="1"/>
  <c r="L14" i="1"/>
  <c r="L25" i="1" s="1"/>
  <c r="E18" i="8"/>
  <c r="E26" i="8"/>
  <c r="H18" i="8"/>
  <c r="H26" i="8"/>
  <c r="C23" i="2"/>
  <c r="G24" i="2"/>
  <c r="I18" i="8"/>
  <c r="I26" i="8"/>
  <c r="E1" i="3"/>
  <c r="K14" i="1"/>
  <c r="L10" i="1"/>
  <c r="N11" i="1" s="1"/>
  <c r="L18" i="8"/>
  <c r="L26" i="8"/>
  <c r="J18" i="8"/>
  <c r="J26" i="8"/>
  <c r="M11" i="1"/>
  <c r="J14" i="1"/>
  <c r="F23" i="2"/>
  <c r="L19" i="1"/>
  <c r="L24" i="1" s="1"/>
  <c r="H23" i="1"/>
  <c r="B16" i="2"/>
  <c r="G16" i="2"/>
  <c r="E24" i="2"/>
  <c r="B14" i="1"/>
  <c r="C20" i="2"/>
  <c r="E14" i="1"/>
  <c r="J24" i="2"/>
  <c r="D24" i="2"/>
  <c r="I24" i="2"/>
  <c r="H24" i="2"/>
  <c r="D13" i="1"/>
  <c r="E13" i="1" s="1"/>
  <c r="K25" i="1"/>
  <c r="M25" i="1" s="1"/>
  <c r="M14" i="1" s="1"/>
  <c r="D21" i="2"/>
  <c r="K6" i="1"/>
  <c r="K19" i="1" s="1"/>
  <c r="K24" i="1" s="1"/>
  <c r="M24" i="1" s="1"/>
  <c r="I23" i="1"/>
  <c r="B6" i="1"/>
  <c r="B19" i="1" s="1"/>
  <c r="L9" i="1"/>
  <c r="L8" i="1"/>
  <c r="M8" i="1" s="1"/>
  <c r="L7" i="1"/>
  <c r="E16" i="2"/>
  <c r="J23" i="2"/>
  <c r="D14" i="1"/>
  <c r="H25" i="1" s="1"/>
  <c r="C24" i="2"/>
  <c r="J23" i="1"/>
  <c r="B23" i="2"/>
  <c r="D20" i="2"/>
  <c r="E1" i="2"/>
  <c r="F24" i="2"/>
  <c r="J25" i="1"/>
  <c r="M9" i="1"/>
  <c r="N9" i="1"/>
  <c r="N8" i="1"/>
  <c r="I25" i="1"/>
  <c r="I20" i="2"/>
  <c r="H20" i="2"/>
  <c r="K23" i="1"/>
  <c r="M23" i="1" s="1"/>
  <c r="M4" i="1" s="1"/>
  <c r="H6" i="1"/>
  <c r="H19" i="1" s="1"/>
  <c r="J24" i="1" s="1"/>
  <c r="F6" i="1"/>
  <c r="F19" i="1" s="1"/>
  <c r="I24" i="1" s="1"/>
  <c r="E1" i="4"/>
  <c r="N25" i="1" l="1"/>
  <c r="N14" i="1" s="1"/>
  <c r="J32" i="8"/>
  <c r="J27" i="8"/>
  <c r="D27" i="8"/>
  <c r="D32" i="8"/>
  <c r="N23" i="1"/>
  <c r="N4" i="1" s="1"/>
  <c r="L27" i="8"/>
  <c r="L32" i="8"/>
  <c r="K27" i="8"/>
  <c r="K32" i="8"/>
  <c r="H24" i="1"/>
  <c r="N24" i="1" s="1"/>
  <c r="N6" i="1" s="1"/>
  <c r="H27" i="8"/>
  <c r="H32" i="8"/>
  <c r="C27" i="8"/>
  <c r="C32" i="8"/>
  <c r="E27" i="8"/>
  <c r="E32" i="8"/>
  <c r="G27" i="8"/>
  <c r="G32" i="8"/>
  <c r="F32" i="8"/>
  <c r="F27" i="8"/>
  <c r="I32" i="8"/>
  <c r="I27" i="8"/>
  <c r="M6" i="1"/>
  <c r="M10" i="1" s="1"/>
  <c r="M12" i="1" s="1"/>
  <c r="M13" i="1" s="1"/>
  <c r="M15" i="1" s="1"/>
  <c r="L33" i="8" l="1"/>
  <c r="L37" i="8"/>
  <c r="G37" i="8"/>
  <c r="G33" i="8"/>
  <c r="C37" i="8"/>
  <c r="C33" i="8"/>
  <c r="I37" i="8"/>
  <c r="I33" i="8"/>
  <c r="H33" i="8"/>
  <c r="H37" i="8"/>
  <c r="D37" i="8"/>
  <c r="D33" i="8"/>
  <c r="F37" i="8"/>
  <c r="F33" i="8"/>
  <c r="K33" i="8"/>
  <c r="K37" i="8"/>
  <c r="J37" i="8"/>
  <c r="J33" i="8"/>
  <c r="E37" i="8"/>
  <c r="E33" i="8"/>
  <c r="N10" i="1"/>
  <c r="N12" i="1" s="1"/>
  <c r="N13" i="1" s="1"/>
  <c r="N15" i="1" s="1"/>
  <c r="N5" i="1"/>
  <c r="M5" i="1"/>
  <c r="I38" i="8" l="1"/>
  <c r="I41" i="8"/>
  <c r="I43" i="8" s="1"/>
  <c r="K38" i="8"/>
  <c r="K41" i="8"/>
  <c r="K43" i="8" s="1"/>
  <c r="F38" i="8"/>
  <c r="F41" i="8"/>
  <c r="F43" i="8" s="1"/>
  <c r="C41" i="8"/>
  <c r="C43" i="8" s="1"/>
  <c r="E38" i="8"/>
  <c r="E41" i="8"/>
  <c r="E43" i="8" s="1"/>
  <c r="D38" i="8"/>
  <c r="D41" i="8"/>
  <c r="D43" i="8" s="1"/>
  <c r="G43" i="8"/>
  <c r="G38" i="8"/>
  <c r="G41" i="8"/>
  <c r="H38" i="8"/>
  <c r="H43" i="8"/>
  <c r="H41" i="8"/>
  <c r="L38" i="8"/>
  <c r="L41" i="8"/>
  <c r="L43" i="8" s="1"/>
  <c r="J38" i="8"/>
  <c r="J41" i="8"/>
  <c r="J43" i="8" s="1"/>
</calcChain>
</file>

<file path=xl/sharedStrings.xml><?xml version="1.0" encoding="utf-8"?>
<sst xmlns="http://schemas.openxmlformats.org/spreadsheetml/2006/main" count="249" uniqueCount="154">
  <si>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</si>
  <si>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</si>
  <si>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</si>
  <si>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</si>
  <si>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</si>
  <si>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</si>
  <si>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</si>
  <si>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</si>
  <si>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</si>
  <si>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</si>
  <si>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</si>
  <si>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</si>
  <si>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</si>
  <si>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</si>
  <si>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</si>
  <si>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</si>
  <si>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</si>
  <si>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</si>
  <si>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</si>
  <si>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</si>
  <si>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</si>
  <si>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</si>
  <si>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</si>
  <si>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</si>
  <si>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</si>
  <si>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</si>
  <si>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</si>
  <si>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</si>
  <si>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</si>
  <si>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</si>
  <si>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</si>
  <si>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</si>
  <si>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</si>
  <si>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</si>
  <si>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</si>
  <si>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</si>
  <si>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</si>
  <si>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</si>
  <si>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</si>
  <si>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</si>
  <si>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</si>
  <si>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</si>
  <si>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</si>
  <si>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</si>
  <si>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</si>
  <si>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</si>
  <si>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</si>
  <si>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</si>
  <si>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</si>
  <si>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</si>
  <si>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</si>
  <si>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</si>
  <si>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</si>
  <si>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</si>
  <si>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MAHINDRA &amp;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</si>
  <si>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</si>
  <si>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</si>
  <si>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</si>
  <si>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</si>
  <si>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</si>
  <si>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</si>
  <si>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</si>
  <si>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</si>
  <si>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</si>
  <si>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</si>
  <si>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</si>
  <si>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</si>
  <si>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</si>
  <si>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</si>
  <si>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</si>
  <si>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</si>
  <si>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</si>
  <si>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</si>
  <si>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</si>
  <si>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</si>
  <si>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</si>
  <si>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</si>
  <si>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</si>
  <si>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</si>
  <si>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</si>
  <si>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</si>
  <si>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</si>
  <si>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</si>
  <si>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 xml:space="preserve">sales </t>
  </si>
  <si>
    <t>ltm</t>
  </si>
  <si>
    <t xml:space="preserve">sales growth </t>
  </si>
  <si>
    <t>-</t>
  </si>
  <si>
    <t>COGS</t>
  </si>
  <si>
    <t xml:space="preserve">COGS % sales </t>
  </si>
  <si>
    <t xml:space="preserve">gross profit </t>
  </si>
  <si>
    <t xml:space="preserve">selling and gernal expnences </t>
  </si>
  <si>
    <t xml:space="preserve">s&amp;g exp % sales </t>
  </si>
  <si>
    <t>EBITA</t>
  </si>
  <si>
    <t xml:space="preserve">ebit % sales </t>
  </si>
  <si>
    <t xml:space="preserve">Interest </t>
  </si>
  <si>
    <t xml:space="preserve">interest % sales </t>
  </si>
  <si>
    <t xml:space="preserve">Depreciation % sales </t>
  </si>
  <si>
    <t xml:space="preserve">effective tax rate  </t>
  </si>
  <si>
    <t xml:space="preserve">Net profit </t>
  </si>
  <si>
    <t xml:space="preserve">Tax </t>
  </si>
  <si>
    <t>Earning before Tax</t>
  </si>
  <si>
    <t>EBT % sales</t>
  </si>
  <si>
    <t xml:space="preserve">Net margin </t>
  </si>
  <si>
    <t xml:space="preserve">No. of equity shares </t>
  </si>
  <si>
    <t xml:space="preserve">Earnings Per Shares </t>
  </si>
  <si>
    <t xml:space="preserve">dividend per share </t>
  </si>
  <si>
    <t xml:space="preserve">EPS Growh </t>
  </si>
  <si>
    <t xml:space="preserve">Retained Earning </t>
  </si>
  <si>
    <t xml:space="preserve">dividend payout ratio </t>
  </si>
  <si>
    <t>#</t>
  </si>
  <si>
    <t xml:space="preserve">Balance Sheet as on </t>
  </si>
  <si>
    <t xml:space="preserve">Total Liabilities  </t>
  </si>
  <si>
    <t xml:space="preserve">Net Assets </t>
  </si>
  <si>
    <t xml:space="preserve">Total Current Asstes </t>
  </si>
  <si>
    <t xml:space="preserve">Total asstes </t>
  </si>
  <si>
    <t>check</t>
  </si>
  <si>
    <t>Total Non Current Assets</t>
  </si>
  <si>
    <t xml:space="preserve">cash flow from operating activity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</si>
  <si>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</si>
  <si>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</si>
  <si>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</si>
  <si>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</si>
  <si>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</si>
  <si>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</si>
  <si>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</si>
  <si>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</si>
  <si>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</si>
  <si>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</si>
  <si>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</si>
  <si>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</si>
  <si>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</si>
  <si>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</si>
  <si>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</si>
  <si>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</si>
  <si>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</si>
  <si>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</si>
  <si>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</si>
  <si>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</si>
  <si>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</si>
  <si>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</si>
  <si>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</si>
  <si>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</si>
  <si>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</si>
  <si>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</si>
  <si>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r>
      <t>Cash from Investing Activity </t>
    </r>
    <r>
      <rPr>
        <b/>
        <sz val="11"/>
        <color rgb="FF665EFD"/>
        <rFont val="Arial"/>
        <family val="2"/>
      </rPr>
      <t>-</t>
    </r>
  </si>
  <si>
    <r>
      <t>Cash from Financing Activity </t>
    </r>
    <r>
      <rPr>
        <b/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</si>
  <si>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</si>
  <si>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</si>
  <si>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</si>
  <si>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Cash from Operating Activity -</t>
  </si>
  <si>
    <t>Operating Activity -</t>
  </si>
  <si>
    <t>Investing Activity</t>
  </si>
  <si>
    <t xml:space="preserve"> Financing Activity</t>
  </si>
  <si>
    <t xml:space="preserve">Net Cash 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</si>
</sst>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7" formatCode="&quot;₹&quot;\ #,##0.00;&quot;₹&quot;\ \-#,##0.00"/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.00_ ;_ * \-#,##0.00_ ;_ * &quot;-&quot;??_ ;_ @_ "/>
    <numFmt numFmtId="165" formatCode="[$-409]mmm\-yy;@"/>
    <numFmt numFmtId="166" formatCode="[$-409]mmmm\-yy;@"/>
    <numFmt numFmtId="167" formatCode="[$₹-4009]\ #,##0.00"/>
    <numFmt numFmtId="168" formatCode="_ [$₹-4009]\ * #,##0.00_ ;_ [$₹-4009]\ * \-#,##0.00_ ;_ [$₹-4009]\ * &quot;-&quot;??_ ;_ @_ "/>
    <numFmt numFmtId="178" formatCode="[$₹-4009]\ #,##0.000;[Red][$₹-4009]\ #,##0.000"/>
    <numFmt numFmtId="181" formatCode="&quot;₹&quot;\ #,##0.00"/>
    <numFmt numFmtId="186" formatCode="&quot;₹&quot;\ #,##0.000;[Red]&quot;₹&quot;\ \-#,##0.000"/>
    <numFmt numFmtId="187" formatCode="&quot;₹&quot;\ #,##0.00;[Red]&quot;₹&quot;\ #,##0.00"/>
    <numFmt numFmtId="188" formatCode="&quot;₹&quot;\ #,##0.000;&quot;₹&quot;\ \-#,##0.000"/>
    <numFmt numFmtId="189" formatCode="&quot;₹&quot;\ #,##0.000;[Red]&quot;₹&quot;\ 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22222F"/>
      <name val="Arial"/>
      <family val="2"/>
    </font>
    <font>
      <b/>
      <sz val="11"/>
      <color rgb="FF665EFD"/>
      <name val="Arial"/>
      <family val="2"/>
    </font>
    <font>
      <sz val="11"/>
      <color rgb="FF665EF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rgb="FFDBE4F0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3">
    <xf numFmtId="0" fontId="0" fillId="0" borderId="0" xfId="0"/>
    <xf numFmtId="164" fontId="1" fillId="0" borderId="0" xfId="1" applyFont="1" applyBorder="1"/>
    <xf numFmtId="0" fontId="1" fillId="0" borderId="0" xfId="0" applyFont="1"/>
    <xf numFmtId="0" fontId="7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8" fillId="0" borderId="0" xfId="1" applyNumberFormat="1" applyFont="1" applyFill="1" applyBorder="1"/>
    <xf numFmtId="0" fontId="6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43" fontId="0" fillId="0" borderId="0" xfId="1" applyNumberFormat="1" applyFont="1" applyBorder="1"/>
    <xf numFmtId="0" fontId="2" fillId="7" borderId="0" xfId="0" applyFont="1" applyFill="1"/>
    <xf numFmtId="0" fontId="0" fillId="0" borderId="0" xfId="0" applyAlignment="1">
      <alignment horizontal="right"/>
    </xf>
    <xf numFmtId="0" fontId="9" fillId="6" borderId="0" xfId="0" applyFont="1" applyFill="1"/>
    <xf numFmtId="10" fontId="9" fillId="6" borderId="0" xfId="0" applyNumberFormat="1" applyFont="1" applyFill="1"/>
    <xf numFmtId="164" fontId="10" fillId="0" borderId="0" xfId="1" applyFont="1" applyBorder="1"/>
    <xf numFmtId="0" fontId="9" fillId="6" borderId="0" xfId="0" applyFont="1" applyFill="1" applyAlignment="1">
      <alignment horizontal="right"/>
    </xf>
    <xf numFmtId="0" fontId="9" fillId="0" borderId="0" xfId="0" applyFont="1"/>
    <xf numFmtId="10" fontId="11" fillId="0" borderId="0" xfId="6" applyNumberFormat="1" applyFont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8" fillId="0" borderId="0" xfId="6" applyNumberFormat="1" applyFont="1"/>
    <xf numFmtId="0" fontId="0" fillId="0" borderId="3" xfId="0" applyBorder="1"/>
    <xf numFmtId="8" fontId="0" fillId="0" borderId="0" xfId="7" applyNumberFormat="1" applyFont="1"/>
    <xf numFmtId="178" fontId="0" fillId="0" borderId="0" xfId="7" applyNumberFormat="1" applyFont="1"/>
    <xf numFmtId="8" fontId="0" fillId="0" borderId="0" xfId="0" applyNumberFormat="1"/>
    <xf numFmtId="8" fontId="8" fillId="0" borderId="0" xfId="6" applyNumberFormat="1" applyFont="1"/>
    <xf numFmtId="8" fontId="9" fillId="0" borderId="0" xfId="0" applyNumberFormat="1" applyFont="1" applyAlignment="1">
      <alignment horizontal="right"/>
    </xf>
    <xf numFmtId="8" fontId="0" fillId="0" borderId="3" xfId="0" applyNumberFormat="1" applyBorder="1"/>
    <xf numFmtId="0" fontId="0" fillId="0" borderId="0" xfId="7" applyNumberFormat="1" applyFont="1"/>
    <xf numFmtId="9" fontId="0" fillId="0" borderId="0" xfId="6" applyFont="1"/>
    <xf numFmtId="0" fontId="2" fillId="6" borderId="0" xfId="0" applyFont="1" applyFill="1"/>
    <xf numFmtId="8" fontId="3" fillId="0" borderId="0" xfId="1" applyNumberFormat="1" applyFont="1" applyBorder="1"/>
    <xf numFmtId="8" fontId="1" fillId="0" borderId="0" xfId="1" applyNumberFormat="1" applyFont="1" applyBorder="1"/>
    <xf numFmtId="8" fontId="1" fillId="0" borderId="0" xfId="0" applyNumberFormat="1" applyFont="1"/>
    <xf numFmtId="8" fontId="0" fillId="0" borderId="0" xfId="1" applyNumberFormat="1" applyFont="1" applyBorder="1"/>
    <xf numFmtId="164" fontId="1" fillId="0" borderId="0" xfId="1" applyFont="1" applyBorder="1" applyAlignment="1">
      <alignment horizontal="left" vertical="top"/>
    </xf>
    <xf numFmtId="168" fontId="0" fillId="0" borderId="0" xfId="0" applyNumberFormat="1"/>
    <xf numFmtId="168" fontId="1" fillId="0" borderId="0" xfId="0" applyNumberFormat="1" applyFont="1"/>
    <xf numFmtId="164" fontId="1" fillId="0" borderId="0" xfId="1" applyFont="1" applyFill="1" applyBorder="1"/>
    <xf numFmtId="0" fontId="0" fillId="0" borderId="0" xfId="0" applyBorder="1"/>
    <xf numFmtId="181" fontId="1" fillId="0" borderId="0" xfId="1" applyNumberFormat="1" applyFont="1" applyFill="1" applyBorder="1"/>
    <xf numFmtId="181" fontId="1" fillId="0" borderId="0" xfId="0" applyNumberFormat="1" applyFont="1"/>
    <xf numFmtId="0" fontId="0" fillId="8" borderId="0" xfId="0" applyFill="1"/>
    <xf numFmtId="17" fontId="12" fillId="9" borderId="0" xfId="0" applyNumberFormat="1" applyFont="1" applyFill="1" applyAlignment="1">
      <alignment horizontal="right" vertical="center" wrapText="1"/>
    </xf>
    <xf numFmtId="0" fontId="13" fillId="10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left" vertical="center" indent="1"/>
    </xf>
    <xf numFmtId="186" fontId="13" fillId="10" borderId="0" xfId="0" applyNumberFormat="1" applyFont="1" applyFill="1" applyAlignment="1">
      <alignment horizontal="right" vertical="center" wrapText="1"/>
    </xf>
    <xf numFmtId="186" fontId="13" fillId="9" borderId="0" xfId="0" applyNumberFormat="1" applyFont="1" applyFill="1" applyAlignment="1">
      <alignment horizontal="right" vertical="center" wrapText="1"/>
    </xf>
    <xf numFmtId="186" fontId="14" fillId="10" borderId="0" xfId="0" applyNumberFormat="1" applyFont="1" applyFill="1" applyAlignment="1">
      <alignment horizontal="right" vertical="center" wrapText="1"/>
    </xf>
    <xf numFmtId="186" fontId="14" fillId="9" borderId="0" xfId="0" applyNumberFormat="1" applyFont="1" applyFill="1" applyAlignment="1">
      <alignment horizontal="right" vertical="center" wrapText="1"/>
    </xf>
    <xf numFmtId="0" fontId="15" fillId="10" borderId="4" xfId="0" applyFont="1" applyFill="1" applyBorder="1" applyAlignment="1">
      <alignment horizontal="left" vertical="center" indent="1"/>
    </xf>
    <xf numFmtId="0" fontId="15" fillId="9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186" fontId="13" fillId="10" borderId="4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 indent="1"/>
    </xf>
    <xf numFmtId="186" fontId="13" fillId="9" borderId="4" xfId="0" applyNumberFormat="1" applyFont="1" applyFill="1" applyBorder="1" applyAlignment="1">
      <alignment horizontal="right" vertical="center" wrapText="1"/>
    </xf>
    <xf numFmtId="187" fontId="0" fillId="0" borderId="0" xfId="0" applyNumberFormat="1"/>
    <xf numFmtId="7" fontId="1" fillId="0" borderId="0" xfId="0" applyNumberFormat="1" applyFont="1"/>
    <xf numFmtId="0" fontId="2" fillId="11" borderId="0" xfId="0" applyFont="1" applyFill="1"/>
    <xf numFmtId="166" fontId="2" fillId="11" borderId="0" xfId="0" applyNumberFormat="1" applyFont="1" applyFill="1"/>
    <xf numFmtId="0" fontId="2" fillId="11" borderId="0" xfId="0" applyFont="1" applyFill="1" applyAlignment="1">
      <alignment horizontal="right"/>
    </xf>
    <xf numFmtId="189" fontId="0" fillId="0" borderId="0" xfId="0" applyNumberFormat="1"/>
    <xf numFmtId="188" fontId="1" fillId="0" borderId="0" xfId="0" applyNumberFormat="1" applyFont="1"/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urrency" xfId="7" builtinId="4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E38B834F-1D44-4C2E-8C3A-45865C40E4DF}"/>
  </tableStyles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736A3F-53A3-4420-8775-A12B3E0EF07D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MAHINDRA &amp; MAHINDRA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75841.42</v>
      </c>
      <c r="C4" s="1">
        <f>'Data Sheet'!C17</f>
        <v>83773.05</v>
      </c>
      <c r="D4" s="1">
        <f>'Data Sheet'!D17</f>
        <v>92093.95</v>
      </c>
      <c r="E4" s="1">
        <f>'Data Sheet'!E17</f>
        <v>104720.68</v>
      </c>
      <c r="F4" s="1">
        <f>'Data Sheet'!F17</f>
        <v>75381.929999999993</v>
      </c>
      <c r="G4" s="1">
        <f>'Data Sheet'!G17</f>
        <v>74277.78</v>
      </c>
      <c r="H4" s="1">
        <f>'Data Sheet'!H17</f>
        <v>90170.57</v>
      </c>
      <c r="I4" s="1">
        <f>'Data Sheet'!I17</f>
        <v>121268.55</v>
      </c>
      <c r="J4" s="1">
        <f>'Data Sheet'!J17</f>
        <v>139078.26999999999</v>
      </c>
      <c r="K4" s="1">
        <f>'Data Sheet'!K17</f>
        <v>159210.82</v>
      </c>
      <c r="L4" s="1">
        <f>SUM(Quarters!H4:K4)</f>
        <v>186333.91999999998</v>
      </c>
      <c r="M4" s="1">
        <f>$K4+M23*K4</f>
        <v>192431.05779815</v>
      </c>
      <c r="N4" s="1">
        <f>$K4+N23*L4</f>
        <v>174367.59221932862</v>
      </c>
    </row>
    <row r="5" spans="1:14" x14ac:dyDescent="0.35">
      <c r="A5" t="s">
        <v>7</v>
      </c>
      <c r="B5" s="6">
        <f>SUM('Data Sheet'!B18,'Data Sheet'!B20:B24, -1*'Data Sheet'!B19)</f>
        <v>65758.98000000001</v>
      </c>
      <c r="C5" s="6">
        <f>SUM('Data Sheet'!C18,'Data Sheet'!C20:C24, -1*'Data Sheet'!C19)</f>
        <v>73038.22</v>
      </c>
      <c r="D5" s="6">
        <f>SUM('Data Sheet'!D18,'Data Sheet'!D20:D24, -1*'Data Sheet'!D19)</f>
        <v>78867.850000000006</v>
      </c>
      <c r="E5" s="6">
        <f>SUM('Data Sheet'!E18,'Data Sheet'!E20:E24, -1*'Data Sheet'!E19)</f>
        <v>89514.17</v>
      </c>
      <c r="F5" s="6">
        <f>SUM('Data Sheet'!F18,'Data Sheet'!F20:F24, -1*'Data Sheet'!F19)</f>
        <v>65224.180000000008</v>
      </c>
      <c r="G5" s="6">
        <f>SUM('Data Sheet'!G18,'Data Sheet'!G20:G24, -1*'Data Sheet'!G19)</f>
        <v>62790.759999999995</v>
      </c>
      <c r="H5" s="6">
        <f>SUM('Data Sheet'!H18,'Data Sheet'!H20:H24, -1*'Data Sheet'!H19)</f>
        <v>75487.719999999987</v>
      </c>
      <c r="I5" s="6">
        <f>SUM('Data Sheet'!I18,'Data Sheet'!I20:I24, -1*'Data Sheet'!I19)</f>
        <v>100983.25999999998</v>
      </c>
      <c r="J5" s="6">
        <f>SUM('Data Sheet'!J18,'Data Sheet'!J20:J24, -1*'Data Sheet'!J19)</f>
        <v>114186.34</v>
      </c>
      <c r="K5" s="6">
        <f>SUM('Data Sheet'!K18,'Data Sheet'!K20:K24, -1*'Data Sheet'!K19)</f>
        <v>128692.63</v>
      </c>
      <c r="L5" s="6">
        <f>SUM(Quarters!H5:K5)</f>
        <v>151094.89000000001</v>
      </c>
      <c r="M5" s="6">
        <f t="shared" ref="M5:N5" si="0">M4-M6</f>
        <v>156038.9515263518</v>
      </c>
      <c r="N5" s="6">
        <f t="shared" si="0"/>
        <v>146684.6843203209</v>
      </c>
    </row>
    <row r="6" spans="1:14" s="2" customFormat="1" x14ac:dyDescent="0.35">
      <c r="A6" s="2" t="s">
        <v>8</v>
      </c>
      <c r="B6" s="1">
        <f>B4-B5</f>
        <v>10082.439999999988</v>
      </c>
      <c r="C6" s="1">
        <f t="shared" ref="C6:K6" si="1">C4-C5</f>
        <v>10734.830000000002</v>
      </c>
      <c r="D6" s="1">
        <f t="shared" si="1"/>
        <v>13226.099999999991</v>
      </c>
      <c r="E6" s="1">
        <f t="shared" si="1"/>
        <v>15206.509999999995</v>
      </c>
      <c r="F6" s="1">
        <f t="shared" si="1"/>
        <v>10157.749999999985</v>
      </c>
      <c r="G6" s="1">
        <f t="shared" si="1"/>
        <v>11487.020000000004</v>
      </c>
      <c r="H6" s="1">
        <f t="shared" si="1"/>
        <v>14682.85000000002</v>
      </c>
      <c r="I6" s="1">
        <f t="shared" si="1"/>
        <v>20285.290000000023</v>
      </c>
      <c r="J6" s="1">
        <f t="shared" si="1"/>
        <v>24891.929999999993</v>
      </c>
      <c r="K6" s="1">
        <f t="shared" si="1"/>
        <v>30518.190000000002</v>
      </c>
      <c r="L6" s="1">
        <f>SUM(Quarters!H6:K6)</f>
        <v>35239.03</v>
      </c>
      <c r="M6" s="1">
        <f>M4*M24</f>
        <v>36392.106271798191</v>
      </c>
      <c r="N6" s="1">
        <f>N4*N24</f>
        <v>27682.907899007721</v>
      </c>
    </row>
    <row r="7" spans="1:14" x14ac:dyDescent="0.35">
      <c r="A7" t="s">
        <v>9</v>
      </c>
      <c r="B7" s="6">
        <f>'Data Sheet'!B25</f>
        <v>1398.83</v>
      </c>
      <c r="C7" s="6">
        <f>'Data Sheet'!C25</f>
        <v>2076.61</v>
      </c>
      <c r="D7" s="6">
        <f>'Data Sheet'!D25</f>
        <v>4366.41</v>
      </c>
      <c r="E7" s="6">
        <f>'Data Sheet'!E25</f>
        <v>2676.45</v>
      </c>
      <c r="F7" s="6">
        <f>'Data Sheet'!F25</f>
        <v>884.69</v>
      </c>
      <c r="G7" s="6">
        <f>'Data Sheet'!G25</f>
        <v>1151.51</v>
      </c>
      <c r="H7" s="6">
        <f>'Data Sheet'!H25</f>
        <v>3204.47</v>
      </c>
      <c r="I7" s="6">
        <f>'Data Sheet'!I25</f>
        <v>3961.45</v>
      </c>
      <c r="J7" s="6">
        <f>'Data Sheet'!J25</f>
        <v>3297.85</v>
      </c>
      <c r="K7" s="6">
        <f>'Data Sheet'!K25</f>
        <v>3718.47</v>
      </c>
      <c r="L7" s="6">
        <f>SUM(Quarters!H7:K7)</f>
        <v>4646.53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2441.65</v>
      </c>
      <c r="C8" s="6">
        <f>'Data Sheet'!C26</f>
        <v>2812.72</v>
      </c>
      <c r="D8" s="6">
        <f>'Data Sheet'!D26</f>
        <v>3279.9</v>
      </c>
      <c r="E8" s="6">
        <f>'Data Sheet'!E26</f>
        <v>3990.77</v>
      </c>
      <c r="F8" s="6">
        <f>'Data Sheet'!F26</f>
        <v>3366.68</v>
      </c>
      <c r="G8" s="6">
        <f>'Data Sheet'!G26</f>
        <v>3378.11</v>
      </c>
      <c r="H8" s="6">
        <f>'Data Sheet'!H26</f>
        <v>3507.5</v>
      </c>
      <c r="I8" s="6">
        <f>'Data Sheet'!I26</f>
        <v>4356.8100000000004</v>
      </c>
      <c r="J8" s="6">
        <f>'Data Sheet'!J26</f>
        <v>4723.78</v>
      </c>
      <c r="K8" s="6">
        <f>'Data Sheet'!K26</f>
        <v>6073.65</v>
      </c>
      <c r="L8" s="6">
        <f>SUM(Quarters!H8:K8)</f>
        <v>7408.0599999999995</v>
      </c>
      <c r="M8" s="6">
        <f>+$L8</f>
        <v>7408.0599999999995</v>
      </c>
      <c r="N8" s="6">
        <f>+$L8</f>
        <v>7408.0599999999995</v>
      </c>
    </row>
    <row r="9" spans="1:14" x14ac:dyDescent="0.35">
      <c r="A9" t="s">
        <v>11</v>
      </c>
      <c r="B9" s="6">
        <f>'Data Sheet'!B27</f>
        <v>3367.59</v>
      </c>
      <c r="C9" s="6">
        <f>'Data Sheet'!C27</f>
        <v>3648.46</v>
      </c>
      <c r="D9" s="6">
        <f>'Data Sheet'!D27</f>
        <v>3987.09</v>
      </c>
      <c r="E9" s="6">
        <f>'Data Sheet'!E27</f>
        <v>5021.3500000000004</v>
      </c>
      <c r="F9" s="6">
        <f>'Data Sheet'!F27</f>
        <v>6021.15</v>
      </c>
      <c r="G9" s="6">
        <f>'Data Sheet'!G27</f>
        <v>6102.22</v>
      </c>
      <c r="H9" s="6">
        <f>'Data Sheet'!H27</f>
        <v>5018.05</v>
      </c>
      <c r="I9" s="6">
        <f>'Data Sheet'!I27</f>
        <v>5829.7</v>
      </c>
      <c r="J9" s="6">
        <f>'Data Sheet'!J27</f>
        <v>7488.21</v>
      </c>
      <c r="K9" s="6">
        <f>'Data Sheet'!K27</f>
        <v>9083.39</v>
      </c>
      <c r="L9" s="6">
        <f>SUM(Quarters!H9:K9)</f>
        <v>9580.0400000000009</v>
      </c>
      <c r="M9" s="6">
        <f>+$L9</f>
        <v>9580.0400000000009</v>
      </c>
      <c r="N9" s="6">
        <f>+$L9</f>
        <v>9580.0400000000009</v>
      </c>
    </row>
    <row r="10" spans="1:14" x14ac:dyDescent="0.35">
      <c r="A10" t="s">
        <v>12</v>
      </c>
      <c r="B10" s="6">
        <f>'Data Sheet'!B28</f>
        <v>5672.03</v>
      </c>
      <c r="C10" s="6">
        <f>'Data Sheet'!C28</f>
        <v>6350.26</v>
      </c>
      <c r="D10" s="6">
        <f>'Data Sheet'!D28</f>
        <v>10325.52</v>
      </c>
      <c r="E10" s="6">
        <f>'Data Sheet'!E28</f>
        <v>8870.84</v>
      </c>
      <c r="F10" s="6">
        <f>'Data Sheet'!F28</f>
        <v>1654.61</v>
      </c>
      <c r="G10" s="6">
        <f>'Data Sheet'!G28</f>
        <v>3158.2</v>
      </c>
      <c r="H10" s="6">
        <f>'Data Sheet'!H28</f>
        <v>9361.77</v>
      </c>
      <c r="I10" s="6">
        <f>'Data Sheet'!I28</f>
        <v>14060.23</v>
      </c>
      <c r="J10" s="6">
        <f>'Data Sheet'!J28</f>
        <v>15977.79</v>
      </c>
      <c r="K10" s="6">
        <f>'Data Sheet'!K28</f>
        <v>19079.62</v>
      </c>
      <c r="L10" s="6">
        <f>SUM(Quarters!H10:K10)</f>
        <v>22897.46</v>
      </c>
      <c r="M10" s="6">
        <f>M6+M7-SUM(M8:M9)</f>
        <v>19404.006271798193</v>
      </c>
      <c r="N10" s="6">
        <f>N6+N7-SUM(N8:N9)</f>
        <v>10694.807899007723</v>
      </c>
    </row>
    <row r="11" spans="1:14" x14ac:dyDescent="0.35">
      <c r="A11" t="s">
        <v>13</v>
      </c>
      <c r="B11" s="6">
        <f>'Data Sheet'!B29</f>
        <v>2117.5300000000002</v>
      </c>
      <c r="C11" s="6">
        <f>'Data Sheet'!C29</f>
        <v>2299.73</v>
      </c>
      <c r="D11" s="6">
        <f>'Data Sheet'!D29</f>
        <v>2367.73</v>
      </c>
      <c r="E11" s="6">
        <f>'Data Sheet'!E29</f>
        <v>2853.99</v>
      </c>
      <c r="F11" s="6">
        <f>'Data Sheet'!F29</f>
        <v>1975.61</v>
      </c>
      <c r="G11" s="6">
        <f>'Data Sheet'!G29</f>
        <v>1645.81</v>
      </c>
      <c r="H11" s="6">
        <f>'Data Sheet'!H29</f>
        <v>2108.7600000000002</v>
      </c>
      <c r="I11" s="6">
        <f>'Data Sheet'!I29</f>
        <v>2685.75</v>
      </c>
      <c r="J11" s="6">
        <f>'Data Sheet'!J29</f>
        <v>3707.97</v>
      </c>
      <c r="K11" s="6">
        <f>'Data Sheet'!K29</f>
        <v>5006.45</v>
      </c>
      <c r="L11" s="6">
        <f>SUM(Quarters!H11:K11)</f>
        <v>5993.8099999999995</v>
      </c>
      <c r="M11" s="7">
        <f>IF($L10&gt;0,$L11/$L10,0)</f>
        <v>0.26176746241722881</v>
      </c>
      <c r="N11" s="7">
        <f>IF($L10&gt;0,$L11/$L10,0)</f>
        <v>0.26176746241722881</v>
      </c>
    </row>
    <row r="12" spans="1:14" s="2" customFormat="1" x14ac:dyDescent="0.35">
      <c r="A12" s="2" t="s">
        <v>14</v>
      </c>
      <c r="B12" s="1">
        <f>'Data Sheet'!B30</f>
        <v>3148.43</v>
      </c>
      <c r="C12" s="1">
        <f>'Data Sheet'!C30</f>
        <v>3698.04</v>
      </c>
      <c r="D12" s="1">
        <f>'Data Sheet'!D30</f>
        <v>7510.39</v>
      </c>
      <c r="E12" s="1">
        <f>'Data Sheet'!E30</f>
        <v>5315.46</v>
      </c>
      <c r="F12" s="1">
        <f>'Data Sheet'!F30</f>
        <v>127.04</v>
      </c>
      <c r="G12" s="1">
        <f>'Data Sheet'!G30</f>
        <v>1812.49</v>
      </c>
      <c r="H12" s="1">
        <f>'Data Sheet'!H30</f>
        <v>6577.32</v>
      </c>
      <c r="I12" s="1">
        <f>'Data Sheet'!I30</f>
        <v>10281.5</v>
      </c>
      <c r="J12" s="1">
        <f>'Data Sheet'!J30</f>
        <v>11268.64</v>
      </c>
      <c r="K12" s="1">
        <f>'Data Sheet'!K30</f>
        <v>12929.1</v>
      </c>
      <c r="L12" s="1">
        <f>SUM(Quarters!H12:K12)</f>
        <v>15726.45</v>
      </c>
      <c r="M12" s="1">
        <f>M10-M11*M10</f>
        <v>14324.668789301588</v>
      </c>
      <c r="N12" s="1">
        <f>N10-N11*N10</f>
        <v>7895.2551742447367</v>
      </c>
    </row>
    <row r="13" spans="1:14" x14ac:dyDescent="0.35">
      <c r="A13" t="s">
        <v>48</v>
      </c>
      <c r="B13" s="6">
        <f>IF('Data Sheet'!B93&gt;0,B12/'Data Sheet'!B93,0)</f>
        <v>25.345596522299147</v>
      </c>
      <c r="C13" s="6">
        <f>IF('Data Sheet'!C93&gt;0,C12/'Data Sheet'!C93,0)</f>
        <v>29.770085332474643</v>
      </c>
      <c r="D13" s="6">
        <f>IF('Data Sheet'!D93&gt;0,D12/'Data Sheet'!D93,0)</f>
        <v>60.411759974259979</v>
      </c>
      <c r="E13" s="6">
        <f>IF('Data Sheet'!E93&gt;0,E12/'Data Sheet'!E93,0)</f>
        <v>42.756274131274132</v>
      </c>
      <c r="F13" s="6">
        <f>IF('Data Sheet'!F93&gt;0,F12/'Data Sheet'!F93,0)</f>
        <v>1.0218790218790219</v>
      </c>
      <c r="G13" s="6">
        <f>IF('Data Sheet'!G93&gt;0,G12/'Data Sheet'!G93,0)</f>
        <v>14.579231016731018</v>
      </c>
      <c r="H13" s="6">
        <f>IF('Data Sheet'!H93&gt;0,H12/'Data Sheet'!H93,0)</f>
        <v>52.906370656370655</v>
      </c>
      <c r="I13" s="6">
        <f>IF('Data Sheet'!I93&gt;0,I12/'Data Sheet'!I93,0)</f>
        <v>82.681946119823081</v>
      </c>
      <c r="J13" s="6">
        <f>IF('Data Sheet'!J93&gt;0,J12/'Data Sheet'!J93,0)</f>
        <v>90.620345798150382</v>
      </c>
      <c r="K13" s="6">
        <f>IF('Data Sheet'!K93&gt;0,K12/'Data Sheet'!K93,0)</f>
        <v>103.97346200241255</v>
      </c>
      <c r="L13" s="6">
        <f>IF('Data Sheet'!$B6&gt;0,'Profit &amp; Loss'!L12/'Data Sheet'!$B6,0)</f>
        <v>126.46630637131344</v>
      </c>
      <c r="M13" s="6">
        <f>IF('Data Sheet'!$B6&gt;0,'Profit &amp; Loss'!M12/'Data Sheet'!$B6,0)</f>
        <v>115.19369926305085</v>
      </c>
      <c r="N13" s="6">
        <f>IF('Data Sheet'!$B6&gt;0,'Profit &amp; Loss'!N12/'Data Sheet'!$B6,0)</f>
        <v>63.49072802480741</v>
      </c>
    </row>
    <row r="14" spans="1:14" x14ac:dyDescent="0.35">
      <c r="A14" t="s">
        <v>16</v>
      </c>
      <c r="B14" s="6">
        <f>IF(B15&gt;0,B15/B13,"")</f>
        <v>23.883833212108893</v>
      </c>
      <c r="C14" s="6">
        <f t="shared" ref="C14:K14" si="2">IF(C15&gt;0,C15/C13,"")</f>
        <v>21.613979026727673</v>
      </c>
      <c r="D14" s="6">
        <f t="shared" si="2"/>
        <v>12.231062301691388</v>
      </c>
      <c r="E14" s="6">
        <f t="shared" si="2"/>
        <v>15.761429490580307</v>
      </c>
      <c r="F14" s="6">
        <f t="shared" si="2"/>
        <v>278.8490554156171</v>
      </c>
      <c r="G14" s="6">
        <f t="shared" si="2"/>
        <v>54.546772671849219</v>
      </c>
      <c r="H14" s="6">
        <f t="shared" si="2"/>
        <v>15.24485595957016</v>
      </c>
      <c r="I14" s="6">
        <f t="shared" si="2"/>
        <v>14.013942031804698</v>
      </c>
      <c r="J14" s="6">
        <f t="shared" si="2"/>
        <v>21.202192323119736</v>
      </c>
      <c r="K14" s="6">
        <f t="shared" si="2"/>
        <v>25.639234749518529</v>
      </c>
      <c r="L14" s="6">
        <f t="shared" ref="L14" si="3">IF(L13&gt;0,L15/L13,0)</f>
        <v>24.492689704287997</v>
      </c>
      <c r="M14" s="6">
        <f>M25</f>
        <v>24.492689704287997</v>
      </c>
      <c r="N14" s="6">
        <f>N25</f>
        <v>21.337014702182742</v>
      </c>
    </row>
    <row r="15" spans="1:14" s="2" customFormat="1" x14ac:dyDescent="0.35">
      <c r="A15" s="2" t="s">
        <v>49</v>
      </c>
      <c r="B15" s="1">
        <f>'Data Sheet'!B90</f>
        <v>605.35</v>
      </c>
      <c r="C15" s="1">
        <f>'Data Sheet'!C90</f>
        <v>643.45000000000005</v>
      </c>
      <c r="D15" s="1">
        <f>'Data Sheet'!D90</f>
        <v>738.9</v>
      </c>
      <c r="E15" s="1">
        <f>'Data Sheet'!E90</f>
        <v>673.9</v>
      </c>
      <c r="F15" s="1">
        <f>'Data Sheet'!F90</f>
        <v>284.95</v>
      </c>
      <c r="G15" s="1">
        <f>'Data Sheet'!G90</f>
        <v>795.25</v>
      </c>
      <c r="H15" s="1">
        <f>'Data Sheet'!H90</f>
        <v>806.55</v>
      </c>
      <c r="I15" s="1">
        <f>'Data Sheet'!I90</f>
        <v>1158.7</v>
      </c>
      <c r="J15" s="1">
        <f>'Data Sheet'!J90</f>
        <v>1921.35</v>
      </c>
      <c r="K15" s="1">
        <f>'Data Sheet'!K90</f>
        <v>2665.8</v>
      </c>
      <c r="L15" s="1">
        <f>'Data Sheet'!B8</f>
        <v>3097.5</v>
      </c>
      <c r="M15" s="8">
        <f>M13*M14</f>
        <v>2821.4035319389732</v>
      </c>
      <c r="N15" s="9">
        <f>N13*N14</f>
        <v>1354.7025973176017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0.20612178133228309</v>
      </c>
      <c r="C18" s="5">
        <f>IF('Data Sheet'!C30&gt;0, 'Data Sheet'!C31/'Data Sheet'!C30, 0)</f>
        <v>0.2183399855058355</v>
      </c>
      <c r="D18" s="5">
        <f>IF('Data Sheet'!D30&gt;0, 'Data Sheet'!D31/'Data Sheet'!D30, 0)</f>
        <v>0.10847639070674094</v>
      </c>
      <c r="E18" s="5">
        <f>IF('Data Sheet'!E30&gt;0, 'Data Sheet'!E31/'Data Sheet'!E30, 0)</f>
        <v>0.17396989159922188</v>
      </c>
      <c r="F18" s="5">
        <f>IF('Data Sheet'!F30&gt;0, 'Data Sheet'!F31/'Data Sheet'!F30, 0)</f>
        <v>2.0506139798488663</v>
      </c>
      <c r="G18" s="5">
        <f>IF('Data Sheet'!G30&gt;0, 'Data Sheet'!G31/'Data Sheet'!G30, 0)</f>
        <v>0.53600847452951461</v>
      </c>
      <c r="H18" s="5">
        <f>IF('Data Sheet'!H30&gt;0, 'Data Sheet'!H31/'Data Sheet'!H30, 0)</f>
        <v>0.1952923075051845</v>
      </c>
      <c r="I18" s="5">
        <f>IF('Data Sheet'!I30&gt;0, 'Data Sheet'!I31/'Data Sheet'!I30, 0)</f>
        <v>0.17601128240042796</v>
      </c>
      <c r="J18" s="5">
        <f>IF('Data Sheet'!J30&gt;0, 'Data Sheet'!J31/'Data Sheet'!J30, 0)</f>
        <v>0.2087332632864303</v>
      </c>
      <c r="K18" s="5">
        <f>IF('Data Sheet'!K30&gt;0, 'Data Sheet'!K31/'Data Sheet'!K30, 0)</f>
        <v>0.21844057204291092</v>
      </c>
    </row>
    <row r="19" spans="1:14" x14ac:dyDescent="0.35">
      <c r="A19" t="s">
        <v>18</v>
      </c>
      <c r="B19" s="5">
        <f t="shared" ref="B19:L19" si="4">IF(B6&gt;0,B6/B4,0)</f>
        <v>0.1329410762614939</v>
      </c>
      <c r="C19" s="5">
        <f t="shared" ref="C19:K19" si="5">IF(C6&gt;0,C6/C4,0)</f>
        <v>0.12814180694149255</v>
      </c>
      <c r="D19" s="5">
        <f t="shared" si="5"/>
        <v>0.143615297204648</v>
      </c>
      <c r="E19" s="5">
        <f t="shared" si="5"/>
        <v>0.14521019153045986</v>
      </c>
      <c r="F19" s="5">
        <f t="shared" si="5"/>
        <v>0.13475046340681363</v>
      </c>
      <c r="G19" s="5">
        <f t="shared" si="5"/>
        <v>0.15464947929246142</v>
      </c>
      <c r="H19" s="5">
        <f t="shared" si="5"/>
        <v>0.16283417083866741</v>
      </c>
      <c r="I19" s="5">
        <f t="shared" si="5"/>
        <v>0.16727576935652336</v>
      </c>
      <c r="J19" s="5">
        <f t="shared" si="5"/>
        <v>0.17897785182401243</v>
      </c>
      <c r="K19" s="5">
        <f t="shared" si="5"/>
        <v>0.19168414558759261</v>
      </c>
      <c r="L19" s="5">
        <f t="shared" si="4"/>
        <v>0.1891176335473434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8.588822750317493E-2</v>
      </c>
      <c r="I23" s="5">
        <f>IF(D4=0,"",POWER($K4/D4,1/7)-1)</f>
        <v>8.1341991942898151E-2</v>
      </c>
      <c r="J23" s="5">
        <f>IF(F4=0,"",POWER($K4/F4,1/5)-1)</f>
        <v>0.16129101353708974</v>
      </c>
      <c r="K23" s="5">
        <f>IF(H4=0,"",POWER($K4/H4, 1/3)-1)</f>
        <v>0.20865565417067744</v>
      </c>
      <c r="L23" s="5">
        <f>IF(ISERROR(MAX(IF(J4=0,"",(K4-J4)/J4),IF(K4=0,"",(L4-K4)/K4))),"",MAX(IF(J4=0,"",(K4-J4)/J4),IF(K4=0,"",(L4-K4)/K4)))</f>
        <v>0.17035965269194628</v>
      </c>
      <c r="M23" s="16">
        <f>MAX(K23:L23)</f>
        <v>0.20865565417067744</v>
      </c>
      <c r="N23" s="16">
        <f>MIN(H23:L23)</f>
        <v>8.1341991942898151E-2</v>
      </c>
    </row>
    <row r="24" spans="1:14" x14ac:dyDescent="0.35">
      <c r="G24" t="s">
        <v>18</v>
      </c>
      <c r="H24" s="5">
        <f>IF(SUM(B4:$K$4)=0,"",SUMPRODUCT(B19:$K$19,B4:$K$4)/SUM(B4:$K$4))</f>
        <v>0.15876177187895513</v>
      </c>
      <c r="I24" s="5">
        <f>IF(SUM(E4:$K$4)=0,"",SUMPRODUCT(E19:$K$19,E4:$K$4)/SUM(E4:$K$4))</f>
        <v>0.16650714309458112</v>
      </c>
      <c r="J24" s="5">
        <f>IF(SUM(G4:$K$4)=0,"",SUMPRODUCT(G19:$K$19,G4:$K$4)/SUM(G4:$K$4))</f>
        <v>0.17442506026350868</v>
      </c>
      <c r="K24" s="5">
        <f>IF(SUM(I4:$K$4)=0, "", SUMPRODUCT(I19:$K$19,I4:$K$4)/SUM(I4:$K$4))</f>
        <v>0.18041718892307626</v>
      </c>
      <c r="L24" s="5">
        <f>L19</f>
        <v>0.1891176335473434</v>
      </c>
      <c r="M24" s="16">
        <f>MAX(K24:L24)</f>
        <v>0.1891176335473434</v>
      </c>
      <c r="N24" s="16">
        <f>MIN(H24:L24)</f>
        <v>0.15876177187895513</v>
      </c>
    </row>
    <row r="25" spans="1:14" x14ac:dyDescent="0.35">
      <c r="G25" t="s">
        <v>23</v>
      </c>
      <c r="H25" s="6">
        <f>IF(ISERROR(AVERAGEIF(B14:$L14,"&gt;0")),"",AVERAGEIF(B14:$L14,"&gt;0"))</f>
        <v>46.134458807897794</v>
      </c>
      <c r="I25" s="6">
        <f>IF(ISERROR(AVERAGEIF(E14:$L14,"&gt;0")),"",AVERAGEIF(E14:$L14,"&gt;0"))</f>
        <v>56.218771543293471</v>
      </c>
      <c r="J25" s="6">
        <f>IF(ISERROR(AVERAGEIF(G14:$L14,"&gt;0")),"",AVERAGEIF(G14:$L14,"&gt;0"))</f>
        <v>25.856614573358389</v>
      </c>
      <c r="K25" s="6">
        <f>IF(ISERROR(AVERAGEIF(I14:$L14,"&gt;0")),"",AVERAGEIF(I14:$L14,"&gt;0"))</f>
        <v>21.337014702182742</v>
      </c>
      <c r="L25" s="6">
        <f>L14</f>
        <v>24.492689704287997</v>
      </c>
      <c r="M25" s="1">
        <f>MAX(K25:L25)</f>
        <v>24.492689704287997</v>
      </c>
      <c r="N25" s="1">
        <f>MIN(H25:L25)</f>
        <v>21.337014702182742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10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MAHINDRA &amp; MAHINDRA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34435.519999999997</v>
      </c>
      <c r="C4" s="1">
        <f>'Data Sheet'!C42</f>
        <v>35299.39</v>
      </c>
      <c r="D4" s="1">
        <f>'Data Sheet'!D42</f>
        <v>35451.730000000003</v>
      </c>
      <c r="E4" s="1">
        <f>'Data Sheet'!E42</f>
        <v>37217.72</v>
      </c>
      <c r="F4" s="1">
        <f>'Data Sheet'!F42</f>
        <v>37923.74</v>
      </c>
      <c r="G4" s="1">
        <f>'Data Sheet'!G42</f>
        <v>41470.050000000003</v>
      </c>
      <c r="H4" s="1">
        <f>'Data Sheet'!H42</f>
        <v>42599.31</v>
      </c>
      <c r="I4" s="1">
        <f>'Data Sheet'!I42</f>
        <v>45529.19</v>
      </c>
      <c r="J4" s="1">
        <f>'Data Sheet'!J42</f>
        <v>46105.67</v>
      </c>
      <c r="K4" s="1">
        <f>'Data Sheet'!K42</f>
        <v>52099.75</v>
      </c>
    </row>
    <row r="5" spans="1:11" x14ac:dyDescent="0.35">
      <c r="A5" t="s">
        <v>7</v>
      </c>
      <c r="B5" s="6">
        <f>'Data Sheet'!B43</f>
        <v>28705.94</v>
      </c>
      <c r="C5" s="6">
        <f>'Data Sheet'!C43</f>
        <v>29075.41</v>
      </c>
      <c r="D5" s="6">
        <f>'Data Sheet'!D43</f>
        <v>28847.82</v>
      </c>
      <c r="E5" s="6">
        <f>'Data Sheet'!E43</f>
        <v>29974.6</v>
      </c>
      <c r="F5" s="6">
        <f>'Data Sheet'!F43</f>
        <v>30790.34</v>
      </c>
      <c r="G5" s="6">
        <f>'Data Sheet'!G43</f>
        <v>33239.32</v>
      </c>
      <c r="H5" s="6">
        <f>'Data Sheet'!H43</f>
        <v>34688.370000000003</v>
      </c>
      <c r="I5" s="6">
        <f>'Data Sheet'!I43</f>
        <v>37301.39</v>
      </c>
      <c r="J5" s="6">
        <f>'Data Sheet'!J43</f>
        <v>37165.760000000002</v>
      </c>
      <c r="K5" s="6">
        <f>'Data Sheet'!K43</f>
        <v>41939.370000000003</v>
      </c>
    </row>
    <row r="6" spans="1:11" s="2" customFormat="1" x14ac:dyDescent="0.35">
      <c r="A6" s="2" t="s">
        <v>8</v>
      </c>
      <c r="B6" s="1">
        <f>'Data Sheet'!B50</f>
        <v>5729.58</v>
      </c>
      <c r="C6" s="1">
        <f>'Data Sheet'!C50</f>
        <v>6223.98</v>
      </c>
      <c r="D6" s="1">
        <f>'Data Sheet'!D50</f>
        <v>6603.91</v>
      </c>
      <c r="E6" s="1">
        <f>'Data Sheet'!E50</f>
        <v>7243.12</v>
      </c>
      <c r="F6" s="1">
        <f>'Data Sheet'!F50</f>
        <v>7133.4</v>
      </c>
      <c r="G6" s="1">
        <f>'Data Sheet'!G50</f>
        <v>8230.73</v>
      </c>
      <c r="H6" s="1">
        <f>'Data Sheet'!H50</f>
        <v>7910.94</v>
      </c>
      <c r="I6" s="1">
        <f>'Data Sheet'!I50</f>
        <v>8227.7999999999993</v>
      </c>
      <c r="J6" s="1">
        <f>'Data Sheet'!J50</f>
        <v>8939.91</v>
      </c>
      <c r="K6" s="1">
        <f>'Data Sheet'!K50</f>
        <v>10160.379999999999</v>
      </c>
    </row>
    <row r="7" spans="1:11" x14ac:dyDescent="0.35">
      <c r="A7" t="s">
        <v>9</v>
      </c>
      <c r="B7" s="6">
        <f>'Data Sheet'!B44</f>
        <v>811.95</v>
      </c>
      <c r="C7" s="6">
        <f>'Data Sheet'!C44</f>
        <v>755.69</v>
      </c>
      <c r="D7" s="6">
        <f>'Data Sheet'!D44</f>
        <v>750.44</v>
      </c>
      <c r="E7" s="6">
        <f>'Data Sheet'!E44</f>
        <v>733.21</v>
      </c>
      <c r="F7" s="6">
        <f>'Data Sheet'!F44</f>
        <v>1125.57</v>
      </c>
      <c r="G7" s="6">
        <f>'Data Sheet'!G44</f>
        <v>718.59</v>
      </c>
      <c r="H7" s="6">
        <f>'Data Sheet'!H44</f>
        <v>1141.0999999999999</v>
      </c>
      <c r="I7" s="6">
        <f>'Data Sheet'!I44</f>
        <v>1395.06</v>
      </c>
      <c r="J7" s="6">
        <f>'Data Sheet'!J44</f>
        <v>1133.94</v>
      </c>
      <c r="K7" s="6">
        <f>'Data Sheet'!K44</f>
        <v>976.43</v>
      </c>
    </row>
    <row r="8" spans="1:11" x14ac:dyDescent="0.35">
      <c r="A8" t="s">
        <v>10</v>
      </c>
      <c r="B8" s="6">
        <f>'Data Sheet'!B45</f>
        <v>1138.6400000000001</v>
      </c>
      <c r="C8" s="6">
        <f>'Data Sheet'!C45</f>
        <v>1122.5899999999999</v>
      </c>
      <c r="D8" s="6">
        <f>'Data Sheet'!D45</f>
        <v>1335.05</v>
      </c>
      <c r="E8" s="6">
        <f>'Data Sheet'!E45</f>
        <v>1247.77</v>
      </c>
      <c r="F8" s="6">
        <f>'Data Sheet'!F45</f>
        <v>1301.99</v>
      </c>
      <c r="G8" s="6">
        <f>'Data Sheet'!G45</f>
        <v>1495.17</v>
      </c>
      <c r="H8" s="6">
        <f>'Data Sheet'!H45</f>
        <v>2028.72</v>
      </c>
      <c r="I8" s="6">
        <f>'Data Sheet'!I45</f>
        <v>1547.56</v>
      </c>
      <c r="J8" s="6">
        <f>'Data Sheet'!J45</f>
        <v>1668.89</v>
      </c>
      <c r="K8" s="6">
        <f>'Data Sheet'!K45</f>
        <v>2162.89</v>
      </c>
    </row>
    <row r="9" spans="1:11" x14ac:dyDescent="0.35">
      <c r="A9" t="s">
        <v>11</v>
      </c>
      <c r="B9" s="6">
        <f>'Data Sheet'!B46</f>
        <v>1835.19</v>
      </c>
      <c r="C9" s="6">
        <f>'Data Sheet'!C46</f>
        <v>1944.88</v>
      </c>
      <c r="D9" s="6">
        <f>'Data Sheet'!D46</f>
        <v>1989.3</v>
      </c>
      <c r="E9" s="6">
        <f>'Data Sheet'!E46</f>
        <v>2107.69</v>
      </c>
      <c r="F9" s="6">
        <f>'Data Sheet'!F46</f>
        <v>2217.02</v>
      </c>
      <c r="G9" s="6">
        <f>'Data Sheet'!G46</f>
        <v>2362.16</v>
      </c>
      <c r="H9" s="6">
        <f>'Data Sheet'!H46</f>
        <v>2396.52</v>
      </c>
      <c r="I9" s="6">
        <f>'Data Sheet'!I46</f>
        <v>2431.19</v>
      </c>
      <c r="J9" s="6">
        <f>'Data Sheet'!J46</f>
        <v>2347.0300000000002</v>
      </c>
      <c r="K9" s="6">
        <f>'Data Sheet'!K46</f>
        <v>2405.3000000000002</v>
      </c>
    </row>
    <row r="10" spans="1:11" x14ac:dyDescent="0.35">
      <c r="A10" t="s">
        <v>12</v>
      </c>
      <c r="B10" s="6">
        <f>'Data Sheet'!B47</f>
        <v>3567.7</v>
      </c>
      <c r="C10" s="6">
        <f>'Data Sheet'!C47</f>
        <v>3912.2</v>
      </c>
      <c r="D10" s="6">
        <f>'Data Sheet'!D47</f>
        <v>4030</v>
      </c>
      <c r="E10" s="6">
        <f>'Data Sheet'!E47</f>
        <v>4620.87</v>
      </c>
      <c r="F10" s="6">
        <f>'Data Sheet'!F47</f>
        <v>4739.96</v>
      </c>
      <c r="G10" s="6">
        <f>'Data Sheet'!G47</f>
        <v>5091.99</v>
      </c>
      <c r="H10" s="6">
        <f>'Data Sheet'!H47</f>
        <v>4626.8</v>
      </c>
      <c r="I10" s="6">
        <f>'Data Sheet'!I47</f>
        <v>5644.11</v>
      </c>
      <c r="J10" s="6">
        <f>'Data Sheet'!J47</f>
        <v>6057.93</v>
      </c>
      <c r="K10" s="6">
        <f>'Data Sheet'!K47</f>
        <v>6568.62</v>
      </c>
    </row>
    <row r="11" spans="1:11" x14ac:dyDescent="0.35">
      <c r="A11" t="s">
        <v>13</v>
      </c>
      <c r="B11" s="6">
        <f>'Data Sheet'!B48</f>
        <v>1083.73</v>
      </c>
      <c r="C11" s="6">
        <f>'Data Sheet'!C48</f>
        <v>935.16</v>
      </c>
      <c r="D11" s="6">
        <f>'Data Sheet'!D48</f>
        <v>905.06</v>
      </c>
      <c r="E11" s="6">
        <f>'Data Sheet'!E48</f>
        <v>1075.0899999999999</v>
      </c>
      <c r="F11" s="6">
        <f>'Data Sheet'!F48</f>
        <v>1378.9</v>
      </c>
      <c r="G11" s="6">
        <f>'Data Sheet'!G48</f>
        <v>1467.51</v>
      </c>
      <c r="H11" s="6">
        <f>'Data Sheet'!H48</f>
        <v>1084.95</v>
      </c>
      <c r="I11" s="6">
        <f>'Data Sheet'!I48</f>
        <v>1267.53</v>
      </c>
      <c r="J11" s="6">
        <f>'Data Sheet'!J48</f>
        <v>2094.1799999999998</v>
      </c>
      <c r="K11" s="6">
        <f>'Data Sheet'!K48</f>
        <v>1547.15</v>
      </c>
    </row>
    <row r="12" spans="1:11" s="2" customFormat="1" x14ac:dyDescent="0.35">
      <c r="A12" s="2" t="s">
        <v>14</v>
      </c>
      <c r="B12" s="1">
        <f>'Data Sheet'!B49</f>
        <v>2347.75</v>
      </c>
      <c r="C12" s="1">
        <f>'Data Sheet'!C49</f>
        <v>2658.4</v>
      </c>
      <c r="D12" s="1">
        <f>'Data Sheet'!D49</f>
        <v>2754.08</v>
      </c>
      <c r="E12" s="1">
        <f>'Data Sheet'!E49</f>
        <v>3282.63</v>
      </c>
      <c r="F12" s="1">
        <f>'Data Sheet'!F49</f>
        <v>3170.72</v>
      </c>
      <c r="G12" s="1">
        <f>'Data Sheet'!G49</f>
        <v>3180.58</v>
      </c>
      <c r="H12" s="1">
        <f>'Data Sheet'!H49</f>
        <v>3295.17</v>
      </c>
      <c r="I12" s="1">
        <f>'Data Sheet'!I49</f>
        <v>4083.32</v>
      </c>
      <c r="J12" s="1">
        <f>'Data Sheet'!J49</f>
        <v>3673.32</v>
      </c>
      <c r="K12" s="1">
        <f>'Data Sheet'!K49</f>
        <v>4674.6400000000003</v>
      </c>
    </row>
    <row r="14" spans="1:11" s="2" customFormat="1" x14ac:dyDescent="0.35">
      <c r="A14" s="2" t="s">
        <v>18</v>
      </c>
      <c r="B14" s="10">
        <f>IF(B4&gt;0,B6/B4,"")</f>
        <v>0.16638575517372761</v>
      </c>
      <c r="C14" s="10">
        <f t="shared" ref="C14:K14" si="0">IF(C4&gt;0,C6/C4,"")</f>
        <v>0.17631976076640418</v>
      </c>
      <c r="D14" s="10">
        <f t="shared" si="0"/>
        <v>0.18627892066198179</v>
      </c>
      <c r="E14" s="10">
        <f t="shared" si="0"/>
        <v>0.19461482326160764</v>
      </c>
      <c r="F14" s="10">
        <f t="shared" si="0"/>
        <v>0.18809853669495677</v>
      </c>
      <c r="G14" s="10">
        <f t="shared" si="0"/>
        <v>0.19847407948627982</v>
      </c>
      <c r="H14" s="10">
        <f t="shared" si="0"/>
        <v>0.18570582481265541</v>
      </c>
      <c r="I14" s="10">
        <f t="shared" si="0"/>
        <v>0.18071483371437091</v>
      </c>
      <c r="J14" s="10">
        <f t="shared" si="0"/>
        <v>0.19390044651774935</v>
      </c>
      <c r="K14" s="10">
        <f t="shared" si="0"/>
        <v>0.19501782638112466</v>
      </c>
    </row>
    <row r="22" s="21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2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MAHINDRA &amp; MAHINDRA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270.39999999999998</v>
      </c>
      <c r="C4" s="14">
        <f>'Data Sheet'!C57</f>
        <v>310.55</v>
      </c>
      <c r="D4" s="14">
        <f>'Data Sheet'!D57</f>
        <v>543.13</v>
      </c>
      <c r="E4" s="14">
        <f>'Data Sheet'!E57</f>
        <v>543.96</v>
      </c>
      <c r="F4" s="14">
        <f>'Data Sheet'!F57</f>
        <v>554.28</v>
      </c>
      <c r="G4" s="14">
        <f>'Data Sheet'!G57</f>
        <v>555.15</v>
      </c>
      <c r="H4" s="14">
        <f>'Data Sheet'!H57</f>
        <v>556.05999999999995</v>
      </c>
      <c r="I4" s="14">
        <f>'Data Sheet'!I57</f>
        <v>556.82000000000005</v>
      </c>
      <c r="J4" s="14">
        <f>'Data Sheet'!J57</f>
        <v>557.38</v>
      </c>
      <c r="K4" s="14">
        <f>'Data Sheet'!K57</f>
        <v>558.15</v>
      </c>
    </row>
    <row r="5" spans="1:11" x14ac:dyDescent="0.35">
      <c r="A5" t="s">
        <v>25</v>
      </c>
      <c r="B5" s="14">
        <f>'Data Sheet'!B58</f>
        <v>26222.25</v>
      </c>
      <c r="C5" s="14">
        <f>'Data Sheet'!C58</f>
        <v>29467.1</v>
      </c>
      <c r="D5" s="14">
        <f>'Data Sheet'!D58</f>
        <v>36232.06</v>
      </c>
      <c r="E5" s="14">
        <f>'Data Sheet'!E58</f>
        <v>39439.449999999997</v>
      </c>
      <c r="F5" s="14">
        <f>'Data Sheet'!F58</f>
        <v>39415.03</v>
      </c>
      <c r="G5" s="14">
        <f>'Data Sheet'!G58</f>
        <v>41026.769999999997</v>
      </c>
      <c r="H5" s="14">
        <f>'Data Sheet'!H58</f>
        <v>46566.58</v>
      </c>
      <c r="I5" s="14">
        <f>'Data Sheet'!I58</f>
        <v>55808.97</v>
      </c>
      <c r="J5" s="14">
        <f>'Data Sheet'!J58</f>
        <v>65633.17</v>
      </c>
      <c r="K5" s="14">
        <f>'Data Sheet'!K58</f>
        <v>76480.710000000006</v>
      </c>
    </row>
    <row r="6" spans="1:11" x14ac:dyDescent="0.35">
      <c r="A6" t="s">
        <v>62</v>
      </c>
      <c r="B6" s="14">
        <f>'Data Sheet'!B59</f>
        <v>41552.93</v>
      </c>
      <c r="C6" s="14">
        <f>'Data Sheet'!C59</f>
        <v>48761.91</v>
      </c>
      <c r="D6" s="14">
        <f>'Data Sheet'!D59</f>
        <v>55897.919999999998</v>
      </c>
      <c r="E6" s="14">
        <f>'Data Sheet'!E59</f>
        <v>70848.3</v>
      </c>
      <c r="F6" s="14">
        <f>'Data Sheet'!F59</f>
        <v>82092.28</v>
      </c>
      <c r="G6" s="14">
        <f>'Data Sheet'!G59</f>
        <v>80624.83</v>
      </c>
      <c r="H6" s="14">
        <f>'Data Sheet'!H59</f>
        <v>77605.210000000006</v>
      </c>
      <c r="I6" s="14">
        <f>'Data Sheet'!I59</f>
        <v>92246.85</v>
      </c>
      <c r="J6" s="14">
        <f>'Data Sheet'!J59</f>
        <v>108647.25</v>
      </c>
      <c r="K6" s="14">
        <f>'Data Sheet'!K59</f>
        <v>129024.58</v>
      </c>
    </row>
    <row r="7" spans="1:11" x14ac:dyDescent="0.35">
      <c r="A7" t="s">
        <v>63</v>
      </c>
      <c r="B7" s="14">
        <f>'Data Sheet'!B60</f>
        <v>31806.240000000002</v>
      </c>
      <c r="C7" s="14">
        <f>'Data Sheet'!C60</f>
        <v>35295.919999999998</v>
      </c>
      <c r="D7" s="14">
        <f>'Data Sheet'!D60</f>
        <v>43696.2</v>
      </c>
      <c r="E7" s="14">
        <f>'Data Sheet'!E60</f>
        <v>51056.95</v>
      </c>
      <c r="F7" s="14">
        <f>'Data Sheet'!F60</f>
        <v>43654.54</v>
      </c>
      <c r="G7" s="14">
        <f>'Data Sheet'!G60</f>
        <v>42761.58</v>
      </c>
      <c r="H7" s="14">
        <f>'Data Sheet'!H60</f>
        <v>47660.639999999999</v>
      </c>
      <c r="I7" s="14">
        <f>'Data Sheet'!I60</f>
        <v>55670.49</v>
      </c>
      <c r="J7" s="14">
        <f>'Data Sheet'!J60</f>
        <v>59883.94</v>
      </c>
      <c r="K7" s="14">
        <f>'Data Sheet'!K60</f>
        <v>69949.72</v>
      </c>
    </row>
    <row r="8" spans="1:11" s="2" customFormat="1" x14ac:dyDescent="0.35">
      <c r="A8" s="2" t="s">
        <v>26</v>
      </c>
      <c r="B8" s="15">
        <f>'Data Sheet'!B61</f>
        <v>99851.82</v>
      </c>
      <c r="C8" s="15">
        <f>'Data Sheet'!C61</f>
        <v>113835.48</v>
      </c>
      <c r="D8" s="15">
        <f>'Data Sheet'!D61</f>
        <v>136369.31</v>
      </c>
      <c r="E8" s="15">
        <f>'Data Sheet'!E61</f>
        <v>161888.66</v>
      </c>
      <c r="F8" s="15">
        <f>'Data Sheet'!F61</f>
        <v>165716.13</v>
      </c>
      <c r="G8" s="15">
        <f>'Data Sheet'!G61</f>
        <v>164968.32999999999</v>
      </c>
      <c r="H8" s="15">
        <f>'Data Sheet'!H61</f>
        <v>172388.49</v>
      </c>
      <c r="I8" s="15">
        <f>'Data Sheet'!I61</f>
        <v>204283.13</v>
      </c>
      <c r="J8" s="15">
        <f>'Data Sheet'!J61</f>
        <v>234721.74</v>
      </c>
      <c r="K8" s="15">
        <f>'Data Sheet'!K61</f>
        <v>276013.15999999997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20584.71</v>
      </c>
      <c r="C10" s="14">
        <f>'Data Sheet'!C62</f>
        <v>20989.01</v>
      </c>
      <c r="D10" s="14">
        <f>'Data Sheet'!D62</f>
        <v>26181.9</v>
      </c>
      <c r="E10" s="14">
        <f>'Data Sheet'!E62</f>
        <v>28982.74</v>
      </c>
      <c r="F10" s="14">
        <f>'Data Sheet'!F62</f>
        <v>29689.27</v>
      </c>
      <c r="G10" s="14">
        <f>'Data Sheet'!G62</f>
        <v>21379.68</v>
      </c>
      <c r="H10" s="14">
        <f>'Data Sheet'!H62</f>
        <v>26018.49</v>
      </c>
      <c r="I10" s="14">
        <f>'Data Sheet'!I62</f>
        <v>27139.98</v>
      </c>
      <c r="J10" s="14">
        <f>'Data Sheet'!J62</f>
        <v>28129.41</v>
      </c>
      <c r="K10" s="14">
        <f>'Data Sheet'!K62</f>
        <v>34636.36</v>
      </c>
    </row>
    <row r="11" spans="1:11" x14ac:dyDescent="0.35">
      <c r="A11" t="s">
        <v>28</v>
      </c>
      <c r="B11" s="14">
        <f>'Data Sheet'!B63</f>
        <v>2371.35</v>
      </c>
      <c r="C11" s="14">
        <f>'Data Sheet'!C63</f>
        <v>4278.9399999999996</v>
      </c>
      <c r="D11" s="14">
        <f>'Data Sheet'!D63</f>
        <v>4269.47</v>
      </c>
      <c r="E11" s="14">
        <f>'Data Sheet'!E63</f>
        <v>4759.84</v>
      </c>
      <c r="F11" s="14">
        <f>'Data Sheet'!F63</f>
        <v>6856.48</v>
      </c>
      <c r="G11" s="14">
        <f>'Data Sheet'!G63</f>
        <v>7872.61</v>
      </c>
      <c r="H11" s="14">
        <f>'Data Sheet'!H63</f>
        <v>6702.81</v>
      </c>
      <c r="I11" s="14">
        <f>'Data Sheet'!I63</f>
        <v>3968.58</v>
      </c>
      <c r="J11" s="14">
        <f>'Data Sheet'!J63</f>
        <v>8039.3</v>
      </c>
      <c r="K11" s="14">
        <f>'Data Sheet'!K63</f>
        <v>8297.64</v>
      </c>
    </row>
    <row r="12" spans="1:11" x14ac:dyDescent="0.35">
      <c r="A12" t="s">
        <v>29</v>
      </c>
      <c r="B12" s="14">
        <f>'Data Sheet'!B64</f>
        <v>11602.58</v>
      </c>
      <c r="C12" s="14">
        <f>'Data Sheet'!C64</f>
        <v>14662.44</v>
      </c>
      <c r="D12" s="14">
        <f>'Data Sheet'!D64</f>
        <v>16017.61</v>
      </c>
      <c r="E12" s="14">
        <f>'Data Sheet'!E64</f>
        <v>18268.099999999999</v>
      </c>
      <c r="F12" s="14">
        <f>'Data Sheet'!F64</f>
        <v>19210.34</v>
      </c>
      <c r="G12" s="14">
        <f>'Data Sheet'!G64</f>
        <v>28777.66</v>
      </c>
      <c r="H12" s="14">
        <f>'Data Sheet'!H64</f>
        <v>30060.43</v>
      </c>
      <c r="I12" s="14">
        <f>'Data Sheet'!I64</f>
        <v>35272.42</v>
      </c>
      <c r="J12" s="14">
        <f>'Data Sheet'!J64</f>
        <v>35208.1</v>
      </c>
      <c r="K12" s="14">
        <f>'Data Sheet'!K64</f>
        <v>41308.57</v>
      </c>
    </row>
    <row r="13" spans="1:11" x14ac:dyDescent="0.35">
      <c r="A13" t="s">
        <v>64</v>
      </c>
      <c r="B13" s="14">
        <f>'Data Sheet'!B65</f>
        <v>65293.18</v>
      </c>
      <c r="C13" s="14">
        <f>'Data Sheet'!C65</f>
        <v>73905.09</v>
      </c>
      <c r="D13" s="14">
        <f>'Data Sheet'!D65</f>
        <v>89900.33</v>
      </c>
      <c r="E13" s="14">
        <f>'Data Sheet'!E65</f>
        <v>109877.98</v>
      </c>
      <c r="F13" s="14">
        <f>'Data Sheet'!F65</f>
        <v>109960.04</v>
      </c>
      <c r="G13" s="14">
        <f>'Data Sheet'!G65</f>
        <v>106938.38</v>
      </c>
      <c r="H13" s="14">
        <f>'Data Sheet'!H65</f>
        <v>109606.76</v>
      </c>
      <c r="I13" s="14">
        <f>'Data Sheet'!I65</f>
        <v>137902.15</v>
      </c>
      <c r="J13" s="14">
        <f>'Data Sheet'!J65</f>
        <v>163344.93</v>
      </c>
      <c r="K13" s="14">
        <f>'Data Sheet'!K65</f>
        <v>191770.59</v>
      </c>
    </row>
    <row r="14" spans="1:11" s="2" customFormat="1" x14ac:dyDescent="0.35">
      <c r="A14" s="2" t="s">
        <v>26</v>
      </c>
      <c r="B14" s="14">
        <f>'Data Sheet'!B66</f>
        <v>99851.82</v>
      </c>
      <c r="C14" s="14">
        <f>'Data Sheet'!C66</f>
        <v>113835.48</v>
      </c>
      <c r="D14" s="14">
        <f>'Data Sheet'!D66</f>
        <v>136369.31</v>
      </c>
      <c r="E14" s="14">
        <f>'Data Sheet'!E66</f>
        <v>161888.66</v>
      </c>
      <c r="F14" s="14">
        <f>'Data Sheet'!F66</f>
        <v>165716.13</v>
      </c>
      <c r="G14" s="14">
        <f>'Data Sheet'!G66</f>
        <v>164968.32999999999</v>
      </c>
      <c r="H14" s="14">
        <f>'Data Sheet'!H66</f>
        <v>172388.49</v>
      </c>
      <c r="I14" s="14">
        <f>'Data Sheet'!I66</f>
        <v>204283.13</v>
      </c>
      <c r="J14" s="14">
        <f>'Data Sheet'!J66</f>
        <v>234721.74</v>
      </c>
      <c r="K14" s="14">
        <f>'Data Sheet'!K66</f>
        <v>276013.15999999997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33486.94</v>
      </c>
      <c r="C16" s="4">
        <f t="shared" ref="C16:K16" si="0">C13-C7</f>
        <v>38609.17</v>
      </c>
      <c r="D16" s="4">
        <f t="shared" si="0"/>
        <v>46204.130000000005</v>
      </c>
      <c r="E16" s="4">
        <f t="shared" si="0"/>
        <v>58821.03</v>
      </c>
      <c r="F16" s="4">
        <f t="shared" si="0"/>
        <v>66305.5</v>
      </c>
      <c r="G16" s="4">
        <f t="shared" si="0"/>
        <v>64176.800000000003</v>
      </c>
      <c r="H16" s="4">
        <f t="shared" si="0"/>
        <v>61946.119999999995</v>
      </c>
      <c r="I16" s="4">
        <f t="shared" si="0"/>
        <v>82231.66</v>
      </c>
      <c r="J16" s="4">
        <f t="shared" si="0"/>
        <v>103460.98999999999</v>
      </c>
      <c r="K16" s="4">
        <f t="shared" si="0"/>
        <v>121820.87</v>
      </c>
    </row>
    <row r="17" spans="1:11" x14ac:dyDescent="0.35">
      <c r="A17" t="s">
        <v>44</v>
      </c>
      <c r="B17" s="4">
        <f>'Data Sheet'!B67</f>
        <v>5817.6</v>
      </c>
      <c r="C17" s="4">
        <f>'Data Sheet'!C67</f>
        <v>7199.26</v>
      </c>
      <c r="D17" s="4">
        <f>'Data Sheet'!D67</f>
        <v>8489.82</v>
      </c>
      <c r="E17" s="4">
        <f>'Data Sheet'!E67</f>
        <v>8677.89</v>
      </c>
      <c r="F17" s="4">
        <f>'Data Sheet'!F67</f>
        <v>6928.28</v>
      </c>
      <c r="G17" s="4">
        <f>'Data Sheet'!G67</f>
        <v>6007.76</v>
      </c>
      <c r="H17" s="4">
        <f>'Data Sheet'!H67</f>
        <v>6373.95</v>
      </c>
      <c r="I17" s="4">
        <f>'Data Sheet'!I67</f>
        <v>7028.02</v>
      </c>
      <c r="J17" s="4">
        <f>'Data Sheet'!J67</f>
        <v>7459.4</v>
      </c>
      <c r="K17" s="4">
        <f>'Data Sheet'!K67</f>
        <v>8279.7000000000007</v>
      </c>
    </row>
    <row r="18" spans="1:11" x14ac:dyDescent="0.35">
      <c r="A18" t="s">
        <v>45</v>
      </c>
      <c r="B18" s="4">
        <f>'Data Sheet'!B68</f>
        <v>9116.1200000000008</v>
      </c>
      <c r="C18" s="4">
        <f>'Data Sheet'!C68</f>
        <v>8886.01</v>
      </c>
      <c r="D18" s="4">
        <f>'Data Sheet'!D68</f>
        <v>9335.57</v>
      </c>
      <c r="E18" s="4">
        <f>'Data Sheet'!E68</f>
        <v>12200.16</v>
      </c>
      <c r="F18" s="4">
        <f>'Data Sheet'!F68</f>
        <v>11111.86</v>
      </c>
      <c r="G18" s="4">
        <f>'Data Sheet'!G68</f>
        <v>9615.41</v>
      </c>
      <c r="H18" s="4">
        <f>'Data Sheet'!H68</f>
        <v>11595.82</v>
      </c>
      <c r="I18" s="4">
        <f>'Data Sheet'!I68</f>
        <v>16854.97</v>
      </c>
      <c r="J18" s="4">
        <f>'Data Sheet'!J68</f>
        <v>18590.47</v>
      </c>
      <c r="K18" s="4">
        <f>'Data Sheet'!K68</f>
        <v>20330.93</v>
      </c>
    </row>
    <row r="20" spans="1:11" x14ac:dyDescent="0.35">
      <c r="A20" t="s">
        <v>46</v>
      </c>
      <c r="B20" s="4">
        <f>IF('Profit &amp; Loss'!B4&gt;0,'Balance Sheet'!B17/('Profit &amp; Loss'!B4/365),0)</f>
        <v>27.998209949128064</v>
      </c>
      <c r="C20" s="4">
        <f>IF('Profit &amp; Loss'!C4&gt;0,'Balance Sheet'!C17/('Profit &amp; Loss'!C4/365),0)</f>
        <v>31.367246387710608</v>
      </c>
      <c r="D20" s="4">
        <f>IF('Profit &amp; Loss'!D4&gt;0,'Balance Sheet'!D17/('Profit &amp; Loss'!D4/365),0)</f>
        <v>33.648076773772871</v>
      </c>
      <c r="E20" s="4">
        <f>IF('Profit &amp; Loss'!E4&gt;0,'Balance Sheet'!E17/('Profit &amp; Loss'!E4/365),0)</f>
        <v>30.246459916035686</v>
      </c>
      <c r="F20" s="4">
        <f>IF('Profit &amp; Loss'!F4&gt;0,'Balance Sheet'!F17/('Profit &amp; Loss'!F4/365),0)</f>
        <v>33.5467956312607</v>
      </c>
      <c r="G20" s="4">
        <f>IF('Profit &amp; Loss'!G4&gt;0,'Balance Sheet'!G17/('Profit &amp; Loss'!G4/365),0)</f>
        <v>29.522050874433784</v>
      </c>
      <c r="H20" s="4">
        <f>IF('Profit &amp; Loss'!H4&gt;0,'Balance Sheet'!H17/('Profit &amp; Loss'!H4/365),0)</f>
        <v>25.801009686419857</v>
      </c>
      <c r="I20" s="4">
        <f>IF('Profit &amp; Loss'!I4&gt;0,'Balance Sheet'!I17/('Profit &amp; Loss'!I4/365),0)</f>
        <v>21.153277581038118</v>
      </c>
      <c r="J20" s="4">
        <f>IF('Profit &amp; Loss'!J4&gt;0,'Balance Sheet'!J17/('Profit &amp; Loss'!J4/365),0)</f>
        <v>19.576609631396767</v>
      </c>
      <c r="K20" s="4">
        <f>IF('Profit &amp; Loss'!K4&gt;0,'Balance Sheet'!K17/('Profit &amp; Loss'!K4/365),0)</f>
        <v>18.981690440385901</v>
      </c>
    </row>
    <row r="21" spans="1:11" x14ac:dyDescent="0.35">
      <c r="A21" t="s">
        <v>47</v>
      </c>
      <c r="B21" s="4">
        <f>IF('Balance Sheet'!B18&gt;0,'Profit &amp; Loss'!B4/'Balance Sheet'!B18,0)</f>
        <v>8.319484605292601</v>
      </c>
      <c r="C21" s="4">
        <f>IF('Balance Sheet'!C18&gt;0,'Profit &amp; Loss'!C4/'Balance Sheet'!C18,0)</f>
        <v>9.4275214635139957</v>
      </c>
      <c r="D21" s="4">
        <f>IF('Balance Sheet'!D18&gt;0,'Profit &amp; Loss'!D4/'Balance Sheet'!D18,0)</f>
        <v>9.8648448889569682</v>
      </c>
      <c r="E21" s="4">
        <f>IF('Balance Sheet'!E18&gt;0,'Profit &amp; Loss'!E4/'Balance Sheet'!E18,0)</f>
        <v>8.5835497239380469</v>
      </c>
      <c r="F21" s="4">
        <f>IF('Balance Sheet'!F18&gt;0,'Profit &amp; Loss'!F4/'Balance Sheet'!F18,0)</f>
        <v>6.7839164640303231</v>
      </c>
      <c r="G21" s="4">
        <f>IF('Balance Sheet'!G18&gt;0,'Profit &amp; Loss'!G4/'Balance Sheet'!G18,0)</f>
        <v>7.7248687263465623</v>
      </c>
      <c r="H21" s="4">
        <f>IF('Balance Sheet'!H18&gt;0,'Profit &amp; Loss'!H4/'Balance Sheet'!H18,0)</f>
        <v>7.7761270871745172</v>
      </c>
      <c r="I21" s="4">
        <f>IF('Balance Sheet'!I18&gt;0,'Profit &amp; Loss'!I4/'Balance Sheet'!I18,0)</f>
        <v>7.1948244345733032</v>
      </c>
      <c r="J21" s="4">
        <f>IF('Balance Sheet'!J18&gt;0,'Profit &amp; Loss'!J4/'Balance Sheet'!J18,0)</f>
        <v>7.4811594327631301</v>
      </c>
      <c r="K21" s="4">
        <f>IF('Balance Sheet'!K18&gt;0,'Profit &amp; Loss'!K4/'Balance Sheet'!K18,0)</f>
        <v>7.8309659223655785</v>
      </c>
    </row>
    <row r="23" spans="1:11" s="2" customFormat="1" x14ac:dyDescent="0.35">
      <c r="A23" s="2" t="s">
        <v>50</v>
      </c>
      <c r="B23" s="10">
        <f>IF(SUM('Balance Sheet'!B4:B5)&gt;0,'Profit &amp; Loss'!B12/SUM('Balance Sheet'!B4:B5),"")</f>
        <v>0.11884164098344256</v>
      </c>
      <c r="C23" s="10">
        <f>IF(SUM('Balance Sheet'!C4:C5)&gt;0,'Profit &amp; Loss'!C12/SUM('Balance Sheet'!C4:C5),"")</f>
        <v>0.12418844334593228</v>
      </c>
      <c r="D23" s="10">
        <f>IF(SUM('Balance Sheet'!D4:D5)&gt;0,'Profit &amp; Loss'!D12/SUM('Balance Sheet'!D4:D5),"")</f>
        <v>0.20422436974492861</v>
      </c>
      <c r="E23" s="10">
        <f>IF(SUM('Balance Sheet'!E4:E5)&gt;0,'Profit &amp; Loss'!E12/SUM('Balance Sheet'!E4:E5),"")</f>
        <v>0.13294163754417146</v>
      </c>
      <c r="F23" s="10">
        <f>IF(SUM('Balance Sheet'!F4:F5)&gt;0,'Profit &amp; Loss'!F12/SUM('Balance Sheet'!F4:F5),"")</f>
        <v>3.1784386570596294E-3</v>
      </c>
      <c r="G23" s="10">
        <f>IF(SUM('Balance Sheet'!G4:G5)&gt;0,'Profit &amp; Loss'!G12/SUM('Balance Sheet'!G4:G5),"")</f>
        <v>4.3588415349748159E-2</v>
      </c>
      <c r="H23" s="10">
        <f>IF(SUM('Balance Sheet'!H4:H5)&gt;0,'Profit &amp; Loss'!H12/SUM('Balance Sheet'!H4:H5),"")</f>
        <v>0.13957876723375431</v>
      </c>
      <c r="I23" s="10">
        <f>IF(SUM('Balance Sheet'!I4:I5)&gt;0,'Profit &amp; Loss'!I12/SUM('Balance Sheet'!I4:I5),"")</f>
        <v>0.18240673997472581</v>
      </c>
      <c r="J23" s="10">
        <f>IF(SUM('Balance Sheet'!J4:J5)&gt;0,'Profit &amp; Loss'!J12/SUM('Balance Sheet'!J4:J5),"")</f>
        <v>0.1702454504457207</v>
      </c>
      <c r="K23" s="10">
        <f>IF(SUM('Balance Sheet'!K4:K5)&gt;0,'Profit &amp; Loss'!K12/SUM('Balance Sheet'!K4:K5),"")</f>
        <v>0.1678256921247277</v>
      </c>
    </row>
    <row r="24" spans="1:11" s="2" customFormat="1" x14ac:dyDescent="0.35">
      <c r="A24" s="2" t="s">
        <v>51</v>
      </c>
      <c r="B24" s="10"/>
      <c r="C24" s="10">
        <f>IF((B4+B5+B6+C4+C5+C6)&gt;0,('Profit &amp; Loss'!C10+'Profit &amp; Loss'!C9)*2/(B4+B5+B6+C4+C5+C6),"")</f>
        <v>0.13642201385488326</v>
      </c>
      <c r="D24" s="10">
        <f>IF((C4+C5+C6+D4+D5+D6)&gt;0,('Profit &amp; Loss'!D10+'Profit &amp; Loss'!D9)*2/(C4+C5+C6+D4+D5+D6),"")</f>
        <v>0.16719101454349147</v>
      </c>
      <c r="E24" s="10">
        <f>IF((D4+D5+D6+E4+E5+E6)&gt;0,('Profit &amp; Loss'!E10+'Profit &amp; Loss'!E9)*2/(D4+D5+D6+E4+E5+E6),"")</f>
        <v>0.13652934608624995</v>
      </c>
      <c r="F24" s="10">
        <f>IF((E4+E5+E6+F4+F5+F6)&gt;0,('Profit &amp; Loss'!F10+'Profit &amp; Loss'!F9)*2/(E4+E5+E6+F4+F5+F6),"")</f>
        <v>6.5916537744967321E-2</v>
      </c>
      <c r="G24" s="10">
        <f>IF((F4+F5+F6+G4+G5+G6)&gt;0,('Profit &amp; Loss'!G10+'Profit &amp; Loss'!G9)*2/(F4+F5+F6+G4+G5+G6),"")</f>
        <v>7.5821696745472636E-2</v>
      </c>
      <c r="H24" s="10">
        <f>IF((G4+G5+G6+H4+H5+H6)&gt;0,('Profit &amp; Loss'!H10+'Profit &amp; Loss'!H9)*2/(G4+G5+G6+H4+H5+H6),"")</f>
        <v>0.11646662719602678</v>
      </c>
      <c r="I24" s="10">
        <f>IF((H4+H5+H6+I4+I5+I6)&gt;0,('Profit &amp; Loss'!I10+'Profit &amp; Loss'!I9)*2/(H4+H5+H6+I4+I5+I6),"")</f>
        <v>0.14553226271014588</v>
      </c>
      <c r="J24" s="10">
        <f>IF((I4+I5+I6+J4+J5+J6)&gt;0,('Profit &amp; Loss'!J10+'Profit &amp; Loss'!J9)*2/(I4+I5+I6+J4+J5+J6),"")</f>
        <v>0.14509796307588885</v>
      </c>
      <c r="K24" s="10">
        <f>IF((J4+J5+J6+K4+K5+K6)&gt;0,('Profit &amp; Loss'!K10+'Profit &amp; Loss'!K9)*2/(J4+J5+J6+K4+K5+K6),"")</f>
        <v>0.14787565406718026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71" zoomScaleNormal="71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E10" sqref="E10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MAHINDRA &amp; MAHINDRA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2384.7600000000002</v>
      </c>
      <c r="C4" s="1">
        <f>'Data Sheet'!C82</f>
        <v>183.09</v>
      </c>
      <c r="D4" s="1">
        <f>'Data Sheet'!D82</f>
        <v>681.86</v>
      </c>
      <c r="E4" s="1">
        <f>'Data Sheet'!E82</f>
        <v>-4347.29</v>
      </c>
      <c r="F4" s="1">
        <f>'Data Sheet'!F82</f>
        <v>-1456.93</v>
      </c>
      <c r="G4" s="1">
        <f>'Data Sheet'!G82</f>
        <v>17908.830000000002</v>
      </c>
      <c r="H4" s="1">
        <f>'Data Sheet'!H82</f>
        <v>9247.5499999999993</v>
      </c>
      <c r="I4" s="1">
        <f>'Data Sheet'!I82</f>
        <v>-7074.02</v>
      </c>
      <c r="J4" s="1">
        <f>'Data Sheet'!J82</f>
        <v>-5629.95</v>
      </c>
      <c r="K4" s="1">
        <f>'Data Sheet'!K82</f>
        <v>3175.81</v>
      </c>
    </row>
    <row r="5" spans="1:11" x14ac:dyDescent="0.35">
      <c r="A5" t="s">
        <v>33</v>
      </c>
      <c r="B5" s="6">
        <f>'Data Sheet'!B83</f>
        <v>-5505.97</v>
      </c>
      <c r="C5" s="6">
        <f>'Data Sheet'!C83</f>
        <v>-5875.29</v>
      </c>
      <c r="D5" s="6">
        <f>'Data Sheet'!D83</f>
        <v>-5467.22</v>
      </c>
      <c r="E5" s="6">
        <f>'Data Sheet'!E83</f>
        <v>-7173.97</v>
      </c>
      <c r="F5" s="6">
        <f>'Data Sheet'!F83</f>
        <v>-6869.79</v>
      </c>
      <c r="G5" s="6">
        <f>'Data Sheet'!G83</f>
        <v>-19685.5</v>
      </c>
      <c r="H5" s="6">
        <f>'Data Sheet'!H83</f>
        <v>-3251.95</v>
      </c>
      <c r="I5" s="6">
        <f>'Data Sheet'!I83</f>
        <v>-8866.27</v>
      </c>
      <c r="J5" s="6">
        <f>'Data Sheet'!J83</f>
        <v>-5614.77</v>
      </c>
      <c r="K5" s="6">
        <f>'Data Sheet'!K83</f>
        <v>-18616.13</v>
      </c>
    </row>
    <row r="6" spans="1:11" x14ac:dyDescent="0.35">
      <c r="A6" t="s">
        <v>34</v>
      </c>
      <c r="B6" s="6">
        <f>'Data Sheet'!B84</f>
        <v>2966.81</v>
      </c>
      <c r="C6" s="6">
        <f>'Data Sheet'!C84</f>
        <v>6107.97</v>
      </c>
      <c r="D6" s="6">
        <f>'Data Sheet'!D84</f>
        <v>6314.5</v>
      </c>
      <c r="E6" s="6">
        <f>'Data Sheet'!E84</f>
        <v>13193.63</v>
      </c>
      <c r="F6" s="6">
        <f>'Data Sheet'!F84</f>
        <v>6932.75</v>
      </c>
      <c r="G6" s="6">
        <f>'Data Sheet'!G84</f>
        <v>406.23</v>
      </c>
      <c r="H6" s="6">
        <f>'Data Sheet'!H84</f>
        <v>-5882.6</v>
      </c>
      <c r="I6" s="6">
        <f>'Data Sheet'!I84</f>
        <v>15946.11</v>
      </c>
      <c r="J6" s="6">
        <f>'Data Sheet'!J84</f>
        <v>12281.41</v>
      </c>
      <c r="K6" s="6">
        <f>'Data Sheet'!K84</f>
        <v>15834.11</v>
      </c>
    </row>
    <row r="7" spans="1:11" s="2" customFormat="1" x14ac:dyDescent="0.35">
      <c r="A7" s="2" t="s">
        <v>35</v>
      </c>
      <c r="B7" s="1">
        <f>'Data Sheet'!B85</f>
        <v>-154.4</v>
      </c>
      <c r="C7" s="1">
        <f>'Data Sheet'!C85</f>
        <v>415.77</v>
      </c>
      <c r="D7" s="1">
        <f>'Data Sheet'!D85</f>
        <v>1529.14</v>
      </c>
      <c r="E7" s="1">
        <f>'Data Sheet'!E85</f>
        <v>1672.37</v>
      </c>
      <c r="F7" s="1">
        <f>'Data Sheet'!F85</f>
        <v>-1393.97</v>
      </c>
      <c r="G7" s="1">
        <f>'Data Sheet'!G85</f>
        <v>-1370.44</v>
      </c>
      <c r="H7" s="1">
        <f>'Data Sheet'!H85</f>
        <v>113</v>
      </c>
      <c r="I7" s="1">
        <f>'Data Sheet'!I85</f>
        <v>5.82</v>
      </c>
      <c r="J7" s="1">
        <f>'Data Sheet'!J85</f>
        <v>1036.69</v>
      </c>
      <c r="K7" s="1">
        <f>'Data Sheet'!K85</f>
        <v>393.79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showGridLines="0" zoomScale="82" zoomScaleNormal="82" zoomScalePageLayoutView="120" workbookViewId="0">
      <pane xSplit="1" ySplit="1" topLeftCell="B3" activePane="bottomRight" state="frozen"/>
      <selection activeCell="C4" sqref="C4"/>
      <selection pane="topRight" activeCell="C4" sqref="C4"/>
      <selection pane="bottomLeft" activeCell="C4" sqref="C4"/>
      <selection pane="bottomRight" activeCell="B22" sqref="B22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3" width="9.7265625" style="4" bestFit="1" customWidth="1"/>
    <col min="14" max="16384" width="8.81640625" style="4"/>
  </cols>
  <sheetData>
    <row r="1" spans="1:11" s="1" customFormat="1" x14ac:dyDescent="0.35">
      <c r="A1" s="1" t="s">
        <v>0</v>
      </c>
      <c r="B1" s="1" t="s">
        <v>54</v>
      </c>
      <c r="E1" s="31" t="str">
        <f>IF(B2&lt;&gt;B3, "A NEW VERSION OF THE WORKSHEET IS AVAILABLE", "")</f>
        <v/>
      </c>
      <c r="F1" s="31"/>
      <c r="G1" s="31"/>
      <c r="H1" s="31"/>
      <c r="I1" s="31"/>
      <c r="J1" s="31"/>
      <c r="K1" s="31"/>
    </row>
    <row r="2" spans="1:11" x14ac:dyDescent="0.35">
      <c r="A2" s="1" t="s">
        <v>52</v>
      </c>
      <c r="B2" s="4">
        <v>2.1</v>
      </c>
      <c r="E2" s="32" t="s">
        <v>36</v>
      </c>
      <c r="F2" s="32"/>
      <c r="G2" s="32"/>
      <c r="H2" s="32"/>
      <c r="I2" s="32"/>
      <c r="J2" s="32"/>
      <c r="K2" s="32"/>
    </row>
    <row r="3" spans="1:11" x14ac:dyDescent="0.35">
      <c r="A3" s="1" t="s">
        <v>53</v>
      </c>
      <c r="B3" s="4">
        <v>2.1</v>
      </c>
    </row>
    <row r="4" spans="1:11" x14ac:dyDescent="0.35">
      <c r="A4" s="1"/>
    </row>
    <row r="5" spans="1:11" x14ac:dyDescent="0.35">
      <c r="A5" s="1" t="s">
        <v>55</v>
      </c>
    </row>
    <row r="6" spans="1:11" x14ac:dyDescent="0.35">
      <c r="A6" s="4" t="s">
        <v>42</v>
      </c>
      <c r="B6" s="4">
        <f>IF(B9&gt;0, B9/B8, 0)</f>
        <v>124.35288458434221</v>
      </c>
    </row>
    <row r="7" spans="1:11" x14ac:dyDescent="0.35">
      <c r="A7" s="4" t="s">
        <v>31</v>
      </c>
      <c r="B7">
        <v>5</v>
      </c>
    </row>
    <row r="8" spans="1:11" x14ac:dyDescent="0.35">
      <c r="A8" s="4" t="s">
        <v>43</v>
      </c>
      <c r="B8">
        <v>3097.5</v>
      </c>
    </row>
    <row r="9" spans="1:11" x14ac:dyDescent="0.35">
      <c r="A9" s="4" t="s">
        <v>70</v>
      </c>
      <c r="B9">
        <v>385183.06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3" s="6" customFormat="1" x14ac:dyDescent="0.35">
      <c r="A17" s="6" t="s">
        <v>6</v>
      </c>
      <c r="B17">
        <v>75841.42</v>
      </c>
      <c r="C17">
        <v>83773.05</v>
      </c>
      <c r="D17">
        <v>92093.95</v>
      </c>
      <c r="E17">
        <v>104720.68</v>
      </c>
      <c r="F17">
        <v>75381.929999999993</v>
      </c>
      <c r="G17">
        <v>74277.78</v>
      </c>
      <c r="H17">
        <v>90170.57</v>
      </c>
      <c r="I17">
        <v>121268.55</v>
      </c>
      <c r="J17">
        <v>139078.26999999999</v>
      </c>
      <c r="K17">
        <v>159210.82</v>
      </c>
    </row>
    <row r="18" spans="1:13" s="6" customFormat="1" x14ac:dyDescent="0.35">
      <c r="A18" s="27" t="s">
        <v>71</v>
      </c>
      <c r="B18">
        <v>45584.35</v>
      </c>
      <c r="C18">
        <v>50655.199999999997</v>
      </c>
      <c r="D18">
        <v>53457.29</v>
      </c>
      <c r="E18">
        <v>61881.19</v>
      </c>
      <c r="F18">
        <v>37595.300000000003</v>
      </c>
      <c r="G18">
        <v>38271.199999999997</v>
      </c>
      <c r="H18">
        <v>52664.85</v>
      </c>
      <c r="I18">
        <v>76019.87</v>
      </c>
      <c r="J18">
        <v>85070.07</v>
      </c>
      <c r="K18">
        <v>95754.9</v>
      </c>
    </row>
    <row r="19" spans="1:13" s="6" customFormat="1" x14ac:dyDescent="0.35">
      <c r="A19" s="4" t="s">
        <v>72</v>
      </c>
      <c r="B19">
        <v>458.51</v>
      </c>
      <c r="C19">
        <v>13.83</v>
      </c>
      <c r="D19">
        <v>-83.33</v>
      </c>
      <c r="E19">
        <v>1730.48</v>
      </c>
      <c r="F19">
        <v>-826.62</v>
      </c>
      <c r="G19">
        <v>-135.59</v>
      </c>
      <c r="H19">
        <v>861.66</v>
      </c>
      <c r="I19">
        <v>2032.31</v>
      </c>
      <c r="J19">
        <v>1455.32</v>
      </c>
      <c r="K19">
        <v>12.18</v>
      </c>
    </row>
    <row r="20" spans="1:13" s="6" customFormat="1" x14ac:dyDescent="0.35">
      <c r="A20" s="27" t="s">
        <v>73</v>
      </c>
      <c r="B20">
        <v>639.97</v>
      </c>
      <c r="C20">
        <v>657.06</v>
      </c>
      <c r="D20">
        <v>733.9</v>
      </c>
      <c r="E20">
        <v>817.11</v>
      </c>
      <c r="F20">
        <v>530.91999999999996</v>
      </c>
      <c r="G20">
        <v>429.56</v>
      </c>
      <c r="H20">
        <v>541.27</v>
      </c>
      <c r="I20">
        <v>830.48</v>
      </c>
      <c r="J20">
        <v>752.73</v>
      </c>
      <c r="K20">
        <v>832.35</v>
      </c>
    </row>
    <row r="21" spans="1:13" s="6" customFormat="1" x14ac:dyDescent="0.35">
      <c r="A21" s="27" t="s">
        <v>74</v>
      </c>
      <c r="B21">
        <v>2618.6999999999998</v>
      </c>
      <c r="C21">
        <v>3255.3</v>
      </c>
      <c r="D21">
        <v>3590.26</v>
      </c>
      <c r="E21">
        <v>4253</v>
      </c>
      <c r="F21">
        <v>3277.79</v>
      </c>
      <c r="G21">
        <v>2523.4</v>
      </c>
      <c r="H21">
        <v>3124.27</v>
      </c>
      <c r="I21">
        <v>3838.42</v>
      </c>
      <c r="J21">
        <v>3791.75</v>
      </c>
      <c r="K21">
        <v>4162.28</v>
      </c>
    </row>
    <row r="22" spans="1:13" s="6" customFormat="1" x14ac:dyDescent="0.35">
      <c r="A22" s="27" t="s">
        <v>75</v>
      </c>
      <c r="B22">
        <v>7689.4</v>
      </c>
      <c r="C22">
        <v>8910.6299999999992</v>
      </c>
      <c r="D22">
        <v>10004.620000000001</v>
      </c>
      <c r="E22">
        <v>11242.08</v>
      </c>
      <c r="F22">
        <v>8214.82</v>
      </c>
      <c r="G22">
        <v>7813.26</v>
      </c>
      <c r="H22">
        <v>8386.74</v>
      </c>
      <c r="I22">
        <v>9677.9500000000007</v>
      </c>
      <c r="J22">
        <v>10624.33</v>
      </c>
      <c r="K22">
        <v>11126.17</v>
      </c>
    </row>
    <row r="23" spans="1:13" s="6" customFormat="1" x14ac:dyDescent="0.35">
      <c r="A23" s="4" t="s">
        <v>76</v>
      </c>
      <c r="B23">
        <v>5758.86</v>
      </c>
      <c r="C23">
        <v>6253.64</v>
      </c>
      <c r="D23">
        <v>7591.15</v>
      </c>
      <c r="E23">
        <v>9658.98</v>
      </c>
      <c r="F23">
        <v>6316.52</v>
      </c>
      <c r="G23">
        <v>4628.75</v>
      </c>
      <c r="H23">
        <v>5977.67</v>
      </c>
      <c r="I23">
        <v>7681.87</v>
      </c>
      <c r="J23">
        <v>9832.2000000000007</v>
      </c>
      <c r="K23">
        <v>10811.4</v>
      </c>
      <c r="L23" s="6">
        <f>SUM(H23:K23)</f>
        <v>34303.14</v>
      </c>
      <c r="M23" s="6">
        <f>SUM(L23,L24)</f>
        <v>56512.99</v>
      </c>
    </row>
    <row r="24" spans="1:13" s="6" customFormat="1" x14ac:dyDescent="0.35">
      <c r="A24" s="4" t="s">
        <v>77</v>
      </c>
      <c r="B24">
        <v>3926.21</v>
      </c>
      <c r="C24">
        <v>3320.22</v>
      </c>
      <c r="D24">
        <v>3407.3</v>
      </c>
      <c r="E24">
        <v>3392.29</v>
      </c>
      <c r="F24">
        <v>8462.2099999999991</v>
      </c>
      <c r="G24">
        <v>8989</v>
      </c>
      <c r="H24">
        <v>5654.58</v>
      </c>
      <c r="I24">
        <v>4966.9799999999996</v>
      </c>
      <c r="J24">
        <v>5570.58</v>
      </c>
      <c r="K24">
        <v>6017.71</v>
      </c>
      <c r="L24" s="6">
        <f>SUM(H24:K24)</f>
        <v>22209.85</v>
      </c>
    </row>
    <row r="25" spans="1:13" s="6" customFormat="1" x14ac:dyDescent="0.35">
      <c r="A25" s="6" t="s">
        <v>9</v>
      </c>
      <c r="B25">
        <v>1398.83</v>
      </c>
      <c r="C25">
        <v>2076.61</v>
      </c>
      <c r="D25">
        <v>4366.41</v>
      </c>
      <c r="E25">
        <v>2676.45</v>
      </c>
      <c r="F25">
        <v>884.69</v>
      </c>
      <c r="G25">
        <v>1151.51</v>
      </c>
      <c r="H25">
        <v>3204.47</v>
      </c>
      <c r="I25">
        <v>3961.45</v>
      </c>
      <c r="J25">
        <v>3297.85</v>
      </c>
      <c r="K25">
        <v>3718.47</v>
      </c>
    </row>
    <row r="26" spans="1:13" s="6" customFormat="1" x14ac:dyDescent="0.35">
      <c r="A26" s="6" t="s">
        <v>10</v>
      </c>
      <c r="B26">
        <v>2441.65</v>
      </c>
      <c r="C26">
        <v>2812.72</v>
      </c>
      <c r="D26">
        <v>3279.9</v>
      </c>
      <c r="E26">
        <v>3990.77</v>
      </c>
      <c r="F26">
        <v>3366.68</v>
      </c>
      <c r="G26">
        <v>3378.11</v>
      </c>
      <c r="H26">
        <v>3507.5</v>
      </c>
      <c r="I26">
        <v>4356.8100000000004</v>
      </c>
      <c r="J26">
        <v>4723.78</v>
      </c>
      <c r="K26">
        <v>6073.65</v>
      </c>
    </row>
    <row r="27" spans="1:13" s="6" customFormat="1" x14ac:dyDescent="0.35">
      <c r="A27" s="6" t="s">
        <v>11</v>
      </c>
      <c r="B27">
        <v>3367.59</v>
      </c>
      <c r="C27">
        <v>3648.46</v>
      </c>
      <c r="D27">
        <v>3987.09</v>
      </c>
      <c r="E27">
        <v>5021.3500000000004</v>
      </c>
      <c r="F27">
        <v>6021.15</v>
      </c>
      <c r="G27">
        <v>6102.22</v>
      </c>
      <c r="H27">
        <v>5018.05</v>
      </c>
      <c r="I27">
        <v>5829.7</v>
      </c>
      <c r="J27">
        <v>7488.21</v>
      </c>
      <c r="K27">
        <v>9083.39</v>
      </c>
    </row>
    <row r="28" spans="1:13" s="6" customFormat="1" x14ac:dyDescent="0.35">
      <c r="A28" s="6" t="s">
        <v>12</v>
      </c>
      <c r="B28">
        <v>5672.03</v>
      </c>
      <c r="C28">
        <v>6350.26</v>
      </c>
      <c r="D28">
        <v>10325.52</v>
      </c>
      <c r="E28">
        <v>8870.84</v>
      </c>
      <c r="F28">
        <v>1654.61</v>
      </c>
      <c r="G28">
        <v>3158.2</v>
      </c>
      <c r="H28">
        <v>9361.77</v>
      </c>
      <c r="I28">
        <v>14060.23</v>
      </c>
      <c r="J28">
        <v>15977.79</v>
      </c>
      <c r="K28">
        <v>19079.62</v>
      </c>
    </row>
    <row r="29" spans="1:13" s="6" customFormat="1" x14ac:dyDescent="0.35">
      <c r="A29" s="6" t="s">
        <v>13</v>
      </c>
      <c r="B29">
        <v>2117.5300000000002</v>
      </c>
      <c r="C29">
        <v>2299.73</v>
      </c>
      <c r="D29">
        <v>2367.73</v>
      </c>
      <c r="E29">
        <v>2853.99</v>
      </c>
      <c r="F29">
        <v>1975.61</v>
      </c>
      <c r="G29">
        <v>1645.81</v>
      </c>
      <c r="H29">
        <v>2108.7600000000002</v>
      </c>
      <c r="I29">
        <v>2685.75</v>
      </c>
      <c r="J29">
        <v>3707.97</v>
      </c>
      <c r="K29">
        <v>5006.45</v>
      </c>
    </row>
    <row r="30" spans="1:13" s="6" customFormat="1" x14ac:dyDescent="0.35">
      <c r="A30" s="6" t="s">
        <v>14</v>
      </c>
      <c r="B30">
        <v>3148.43</v>
      </c>
      <c r="C30">
        <v>3698.04</v>
      </c>
      <c r="D30">
        <v>7510.39</v>
      </c>
      <c r="E30">
        <v>5315.46</v>
      </c>
      <c r="F30">
        <v>127.04</v>
      </c>
      <c r="G30">
        <v>1812.49</v>
      </c>
      <c r="H30">
        <v>6577.32</v>
      </c>
      <c r="I30">
        <v>10281.5</v>
      </c>
      <c r="J30">
        <v>11268.64</v>
      </c>
      <c r="K30">
        <v>12929.1</v>
      </c>
    </row>
    <row r="31" spans="1:13" s="6" customFormat="1" x14ac:dyDescent="0.35">
      <c r="A31" s="6" t="s">
        <v>61</v>
      </c>
      <c r="B31">
        <v>648.96</v>
      </c>
      <c r="C31">
        <v>807.43</v>
      </c>
      <c r="D31">
        <v>814.7</v>
      </c>
      <c r="E31">
        <v>924.73</v>
      </c>
      <c r="F31">
        <v>260.51</v>
      </c>
      <c r="G31">
        <v>971.51</v>
      </c>
      <c r="H31">
        <v>1284.5</v>
      </c>
      <c r="I31">
        <v>1809.66</v>
      </c>
      <c r="J31">
        <v>2352.14</v>
      </c>
      <c r="K31">
        <v>2824.24</v>
      </c>
    </row>
    <row r="32" spans="1:13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34435.519999999997</v>
      </c>
      <c r="C42">
        <v>35299.39</v>
      </c>
      <c r="D42">
        <v>35451.730000000003</v>
      </c>
      <c r="E42">
        <v>37217.72</v>
      </c>
      <c r="F42">
        <v>37923.74</v>
      </c>
      <c r="G42">
        <v>41470.050000000003</v>
      </c>
      <c r="H42">
        <v>42599.31</v>
      </c>
      <c r="I42">
        <v>45529.19</v>
      </c>
      <c r="J42">
        <v>46105.67</v>
      </c>
      <c r="K42">
        <v>52099.75</v>
      </c>
    </row>
    <row r="43" spans="1:11" s="6" customFormat="1" x14ac:dyDescent="0.35">
      <c r="A43" s="6" t="s">
        <v>7</v>
      </c>
      <c r="B43">
        <v>28705.94</v>
      </c>
      <c r="C43">
        <v>29075.41</v>
      </c>
      <c r="D43">
        <v>28847.82</v>
      </c>
      <c r="E43">
        <v>29974.6</v>
      </c>
      <c r="F43">
        <v>30790.34</v>
      </c>
      <c r="G43">
        <v>33239.32</v>
      </c>
      <c r="H43">
        <v>34688.370000000003</v>
      </c>
      <c r="I43">
        <v>37301.39</v>
      </c>
      <c r="J43">
        <v>37165.760000000002</v>
      </c>
      <c r="K43">
        <v>41939.370000000003</v>
      </c>
    </row>
    <row r="44" spans="1:11" s="6" customFormat="1" x14ac:dyDescent="0.35">
      <c r="A44" s="6" t="s">
        <v>9</v>
      </c>
      <c r="B44">
        <v>811.95</v>
      </c>
      <c r="C44">
        <v>755.69</v>
      </c>
      <c r="D44">
        <v>750.44</v>
      </c>
      <c r="E44">
        <v>733.21</v>
      </c>
      <c r="F44">
        <v>1125.57</v>
      </c>
      <c r="G44">
        <v>718.59</v>
      </c>
      <c r="H44">
        <v>1141.0999999999999</v>
      </c>
      <c r="I44">
        <v>1395.06</v>
      </c>
      <c r="J44">
        <v>1133.94</v>
      </c>
      <c r="K44">
        <v>976.43</v>
      </c>
    </row>
    <row r="45" spans="1:11" s="6" customFormat="1" x14ac:dyDescent="0.35">
      <c r="A45" s="6" t="s">
        <v>10</v>
      </c>
      <c r="B45">
        <v>1138.6400000000001</v>
      </c>
      <c r="C45">
        <v>1122.5899999999999</v>
      </c>
      <c r="D45">
        <v>1335.05</v>
      </c>
      <c r="E45">
        <v>1247.77</v>
      </c>
      <c r="F45">
        <v>1301.99</v>
      </c>
      <c r="G45">
        <v>1495.17</v>
      </c>
      <c r="H45">
        <v>2028.72</v>
      </c>
      <c r="I45">
        <v>1547.56</v>
      </c>
      <c r="J45">
        <v>1668.89</v>
      </c>
      <c r="K45">
        <v>2162.89</v>
      </c>
    </row>
    <row r="46" spans="1:11" s="6" customFormat="1" x14ac:dyDescent="0.35">
      <c r="A46" s="6" t="s">
        <v>11</v>
      </c>
      <c r="B46">
        <v>1835.19</v>
      </c>
      <c r="C46">
        <v>1944.88</v>
      </c>
      <c r="D46">
        <v>1989.3</v>
      </c>
      <c r="E46">
        <v>2107.69</v>
      </c>
      <c r="F46">
        <v>2217.02</v>
      </c>
      <c r="G46">
        <v>2362.16</v>
      </c>
      <c r="H46">
        <v>2396.52</v>
      </c>
      <c r="I46">
        <v>2431.19</v>
      </c>
      <c r="J46">
        <v>2347.0300000000002</v>
      </c>
      <c r="K46">
        <v>2405.3000000000002</v>
      </c>
    </row>
    <row r="47" spans="1:11" s="6" customFormat="1" x14ac:dyDescent="0.35">
      <c r="A47" s="6" t="s">
        <v>12</v>
      </c>
      <c r="B47">
        <v>3567.7</v>
      </c>
      <c r="C47">
        <v>3912.2</v>
      </c>
      <c r="D47">
        <v>4030</v>
      </c>
      <c r="E47">
        <v>4620.87</v>
      </c>
      <c r="F47">
        <v>4739.96</v>
      </c>
      <c r="G47">
        <v>5091.99</v>
      </c>
      <c r="H47">
        <v>4626.8</v>
      </c>
      <c r="I47">
        <v>5644.11</v>
      </c>
      <c r="J47">
        <v>6057.93</v>
      </c>
      <c r="K47">
        <v>6568.62</v>
      </c>
    </row>
    <row r="48" spans="1:11" s="6" customFormat="1" x14ac:dyDescent="0.35">
      <c r="A48" s="6" t="s">
        <v>13</v>
      </c>
      <c r="B48">
        <v>1083.73</v>
      </c>
      <c r="C48">
        <v>935.16</v>
      </c>
      <c r="D48">
        <v>905.06</v>
      </c>
      <c r="E48">
        <v>1075.0899999999999</v>
      </c>
      <c r="F48">
        <v>1378.9</v>
      </c>
      <c r="G48">
        <v>1467.51</v>
      </c>
      <c r="H48">
        <v>1084.95</v>
      </c>
      <c r="I48">
        <v>1267.53</v>
      </c>
      <c r="J48">
        <v>2094.1799999999998</v>
      </c>
      <c r="K48">
        <v>1547.15</v>
      </c>
    </row>
    <row r="49" spans="1:11" s="6" customFormat="1" x14ac:dyDescent="0.35">
      <c r="A49" s="6" t="s">
        <v>14</v>
      </c>
      <c r="B49">
        <v>2347.75</v>
      </c>
      <c r="C49">
        <v>2658.4</v>
      </c>
      <c r="D49">
        <v>2754.08</v>
      </c>
      <c r="E49">
        <v>3282.63</v>
      </c>
      <c r="F49">
        <v>3170.72</v>
      </c>
      <c r="G49">
        <v>3180.58</v>
      </c>
      <c r="H49">
        <v>3295.17</v>
      </c>
      <c r="I49">
        <v>4083.32</v>
      </c>
      <c r="J49">
        <v>3673.32</v>
      </c>
      <c r="K49">
        <v>4674.6400000000003</v>
      </c>
    </row>
    <row r="50" spans="1:11" x14ac:dyDescent="0.35">
      <c r="A50" s="6" t="s">
        <v>8</v>
      </c>
      <c r="B50">
        <v>5729.58</v>
      </c>
      <c r="C50">
        <v>6223.98</v>
      </c>
      <c r="D50">
        <v>6603.91</v>
      </c>
      <c r="E50">
        <v>7243.12</v>
      </c>
      <c r="F50">
        <v>7133.4</v>
      </c>
      <c r="G50">
        <v>8230.73</v>
      </c>
      <c r="H50">
        <v>7910.94</v>
      </c>
      <c r="I50">
        <v>8227.7999999999993</v>
      </c>
      <c r="J50">
        <v>8939.91</v>
      </c>
      <c r="K50">
        <v>10160.379999999999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270.39999999999998</v>
      </c>
      <c r="C57">
        <v>310.55</v>
      </c>
      <c r="D57">
        <v>543.13</v>
      </c>
      <c r="E57">
        <v>543.96</v>
      </c>
      <c r="F57">
        <v>554.28</v>
      </c>
      <c r="G57">
        <v>555.15</v>
      </c>
      <c r="H57">
        <v>556.05999999999995</v>
      </c>
      <c r="I57">
        <v>556.82000000000005</v>
      </c>
      <c r="J57">
        <v>557.38</v>
      </c>
      <c r="K57">
        <v>558.15</v>
      </c>
    </row>
    <row r="58" spans="1:11" x14ac:dyDescent="0.35">
      <c r="A58" s="6" t="s">
        <v>25</v>
      </c>
      <c r="B58">
        <v>26222.25</v>
      </c>
      <c r="C58">
        <v>29467.1</v>
      </c>
      <c r="D58">
        <v>36232.06</v>
      </c>
      <c r="E58">
        <v>39439.449999999997</v>
      </c>
      <c r="F58">
        <v>39415.03</v>
      </c>
      <c r="G58">
        <v>41026.769999999997</v>
      </c>
      <c r="H58">
        <v>46566.58</v>
      </c>
      <c r="I58">
        <v>55808.97</v>
      </c>
      <c r="J58">
        <v>65633.17</v>
      </c>
      <c r="K58">
        <v>76480.710000000006</v>
      </c>
    </row>
    <row r="59" spans="1:11" x14ac:dyDescent="0.35">
      <c r="A59" s="6" t="s">
        <v>62</v>
      </c>
      <c r="B59">
        <v>41552.93</v>
      </c>
      <c r="C59">
        <v>48761.91</v>
      </c>
      <c r="D59">
        <v>55897.919999999998</v>
      </c>
      <c r="E59">
        <v>70848.3</v>
      </c>
      <c r="F59">
        <v>82092.28</v>
      </c>
      <c r="G59">
        <v>80624.83</v>
      </c>
      <c r="H59">
        <v>77605.210000000006</v>
      </c>
      <c r="I59">
        <v>92246.85</v>
      </c>
      <c r="J59">
        <v>108647.25</v>
      </c>
      <c r="K59">
        <v>129024.58</v>
      </c>
    </row>
    <row r="60" spans="1:11" x14ac:dyDescent="0.35">
      <c r="A60" s="6" t="s">
        <v>63</v>
      </c>
      <c r="B60">
        <v>31806.240000000002</v>
      </c>
      <c r="C60">
        <v>35295.919999999998</v>
      </c>
      <c r="D60">
        <v>43696.2</v>
      </c>
      <c r="E60">
        <v>51056.95</v>
      </c>
      <c r="F60">
        <v>43654.54</v>
      </c>
      <c r="G60">
        <v>42761.58</v>
      </c>
      <c r="H60">
        <v>47660.639999999999</v>
      </c>
      <c r="I60">
        <v>55670.49</v>
      </c>
      <c r="J60">
        <v>59883.94</v>
      </c>
      <c r="K60">
        <v>69949.72</v>
      </c>
    </row>
    <row r="61" spans="1:11" s="1" customFormat="1" x14ac:dyDescent="0.35">
      <c r="A61" s="1" t="s">
        <v>26</v>
      </c>
      <c r="B61">
        <v>99851.82</v>
      </c>
      <c r="C61">
        <v>113835.48</v>
      </c>
      <c r="D61">
        <v>136369.31</v>
      </c>
      <c r="E61">
        <v>161888.66</v>
      </c>
      <c r="F61">
        <v>165716.13</v>
      </c>
      <c r="G61">
        <v>164968.32999999999</v>
      </c>
      <c r="H61">
        <v>172388.49</v>
      </c>
      <c r="I61">
        <v>204283.13</v>
      </c>
      <c r="J61">
        <v>234721.74</v>
      </c>
      <c r="K61">
        <v>276013.15999999997</v>
      </c>
    </row>
    <row r="62" spans="1:11" x14ac:dyDescent="0.35">
      <c r="A62" s="6" t="s">
        <v>27</v>
      </c>
      <c r="B62">
        <v>20584.71</v>
      </c>
      <c r="C62">
        <v>20989.01</v>
      </c>
      <c r="D62">
        <v>26181.9</v>
      </c>
      <c r="E62">
        <v>28982.74</v>
      </c>
      <c r="F62">
        <v>29689.27</v>
      </c>
      <c r="G62">
        <v>21379.68</v>
      </c>
      <c r="H62">
        <v>26018.49</v>
      </c>
      <c r="I62">
        <v>27139.98</v>
      </c>
      <c r="J62">
        <v>28129.41</v>
      </c>
      <c r="K62">
        <v>34636.36</v>
      </c>
    </row>
    <row r="63" spans="1:11" x14ac:dyDescent="0.35">
      <c r="A63" s="6" t="s">
        <v>28</v>
      </c>
      <c r="B63">
        <v>2371.35</v>
      </c>
      <c r="C63">
        <v>4278.9399999999996</v>
      </c>
      <c r="D63">
        <v>4269.47</v>
      </c>
      <c r="E63">
        <v>4759.84</v>
      </c>
      <c r="F63">
        <v>6856.48</v>
      </c>
      <c r="G63">
        <v>7872.61</v>
      </c>
      <c r="H63">
        <v>6702.81</v>
      </c>
      <c r="I63">
        <v>3968.58</v>
      </c>
      <c r="J63">
        <v>8039.3</v>
      </c>
      <c r="K63">
        <v>8297.64</v>
      </c>
    </row>
    <row r="64" spans="1:11" x14ac:dyDescent="0.35">
      <c r="A64" s="6" t="s">
        <v>29</v>
      </c>
      <c r="B64">
        <v>11602.58</v>
      </c>
      <c r="C64">
        <v>14662.44</v>
      </c>
      <c r="D64">
        <v>16017.61</v>
      </c>
      <c r="E64">
        <v>18268.099999999999</v>
      </c>
      <c r="F64">
        <v>19210.34</v>
      </c>
      <c r="G64">
        <v>28777.66</v>
      </c>
      <c r="H64">
        <v>30060.43</v>
      </c>
      <c r="I64">
        <v>35272.42</v>
      </c>
      <c r="J64">
        <v>35208.1</v>
      </c>
      <c r="K64">
        <v>41308.57</v>
      </c>
    </row>
    <row r="65" spans="1:11" x14ac:dyDescent="0.35">
      <c r="A65" s="6" t="s">
        <v>64</v>
      </c>
      <c r="B65">
        <v>65293.18</v>
      </c>
      <c r="C65">
        <v>73905.09</v>
      </c>
      <c r="D65">
        <v>89900.33</v>
      </c>
      <c r="E65">
        <v>109877.98</v>
      </c>
      <c r="F65">
        <v>109960.04</v>
      </c>
      <c r="G65">
        <v>106938.38</v>
      </c>
      <c r="H65">
        <v>109606.76</v>
      </c>
      <c r="I65">
        <v>137902.15</v>
      </c>
      <c r="J65">
        <v>163344.93</v>
      </c>
      <c r="K65">
        <v>191770.59</v>
      </c>
    </row>
    <row r="66" spans="1:11" s="1" customFormat="1" x14ac:dyDescent="0.35">
      <c r="A66" s="1" t="s">
        <v>26</v>
      </c>
      <c r="B66">
        <v>99851.82</v>
      </c>
      <c r="C66">
        <v>113835.48</v>
      </c>
      <c r="D66">
        <v>136369.31</v>
      </c>
      <c r="E66">
        <v>161888.66</v>
      </c>
      <c r="F66">
        <v>165716.13</v>
      </c>
      <c r="G66">
        <v>164968.32999999999</v>
      </c>
      <c r="H66">
        <v>172388.49</v>
      </c>
      <c r="I66">
        <v>204283.13</v>
      </c>
      <c r="J66">
        <v>234721.74</v>
      </c>
      <c r="K66">
        <v>276013.15999999997</v>
      </c>
    </row>
    <row r="67" spans="1:11" s="6" customFormat="1" x14ac:dyDescent="0.35">
      <c r="A67" s="6" t="s">
        <v>69</v>
      </c>
      <c r="B67">
        <v>5817.6</v>
      </c>
      <c r="C67">
        <v>7199.26</v>
      </c>
      <c r="D67">
        <v>8489.82</v>
      </c>
      <c r="E67">
        <v>8677.89</v>
      </c>
      <c r="F67">
        <v>6928.28</v>
      </c>
      <c r="G67">
        <v>6007.76</v>
      </c>
      <c r="H67">
        <v>6373.95</v>
      </c>
      <c r="I67">
        <v>7028.02</v>
      </c>
      <c r="J67">
        <v>7459.4</v>
      </c>
      <c r="K67">
        <v>8279.7000000000007</v>
      </c>
    </row>
    <row r="68" spans="1:11" x14ac:dyDescent="0.35">
      <c r="A68" s="6" t="s">
        <v>45</v>
      </c>
      <c r="B68">
        <v>9116.1200000000008</v>
      </c>
      <c r="C68">
        <v>8886.01</v>
      </c>
      <c r="D68">
        <v>9335.57</v>
      </c>
      <c r="E68">
        <v>12200.16</v>
      </c>
      <c r="F68">
        <v>11111.86</v>
      </c>
      <c r="G68">
        <v>9615.41</v>
      </c>
      <c r="H68">
        <v>11595.82</v>
      </c>
      <c r="I68">
        <v>16854.97</v>
      </c>
      <c r="J68">
        <v>18590.47</v>
      </c>
      <c r="K68">
        <v>20330.93</v>
      </c>
    </row>
    <row r="69" spans="1:11" x14ac:dyDescent="0.35">
      <c r="A69" s="4" t="s">
        <v>78</v>
      </c>
      <c r="B69">
        <v>4527.55</v>
      </c>
      <c r="C69">
        <v>4654.03</v>
      </c>
      <c r="D69">
        <v>6547.6</v>
      </c>
      <c r="E69">
        <v>8734.91</v>
      </c>
      <c r="F69">
        <v>7910.9</v>
      </c>
      <c r="G69">
        <v>12851.99</v>
      </c>
      <c r="H69">
        <v>11117.61</v>
      </c>
      <c r="I69">
        <v>11273.43</v>
      </c>
      <c r="J69">
        <v>12012.75</v>
      </c>
      <c r="K69">
        <v>20614.84</v>
      </c>
    </row>
    <row r="70" spans="1:11" x14ac:dyDescent="0.35">
      <c r="A70" s="4" t="s">
        <v>65</v>
      </c>
      <c r="B70">
        <v>592633807</v>
      </c>
      <c r="C70">
        <v>621092384</v>
      </c>
      <c r="D70">
        <v>1243192544</v>
      </c>
      <c r="E70">
        <v>1243192544</v>
      </c>
      <c r="F70">
        <v>1243192544</v>
      </c>
      <c r="G70">
        <v>1110297953</v>
      </c>
      <c r="H70">
        <v>1112130815</v>
      </c>
      <c r="I70">
        <v>1198118224</v>
      </c>
      <c r="J70">
        <v>1114775772</v>
      </c>
      <c r="K70">
        <v>1116313361</v>
      </c>
    </row>
    <row r="71" spans="1:11" x14ac:dyDescent="0.35">
      <c r="A71" s="4" t="s">
        <v>66</v>
      </c>
      <c r="D71">
        <v>621596272</v>
      </c>
    </row>
    <row r="72" spans="1:11" x14ac:dyDescent="0.35">
      <c r="A72" s="4" t="s">
        <v>79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2384.7600000000002</v>
      </c>
      <c r="C82">
        <v>183.09</v>
      </c>
      <c r="D82">
        <v>681.86</v>
      </c>
      <c r="E82">
        <v>-4347.29</v>
      </c>
      <c r="F82">
        <v>-1456.93</v>
      </c>
      <c r="G82">
        <v>17908.830000000002</v>
      </c>
      <c r="H82">
        <v>9247.5499999999993</v>
      </c>
      <c r="I82">
        <v>-7074.02</v>
      </c>
      <c r="J82">
        <v>-5629.95</v>
      </c>
      <c r="K82">
        <v>3175.81</v>
      </c>
    </row>
    <row r="83" spans="1:11" s="6" customFormat="1" x14ac:dyDescent="0.35">
      <c r="A83" s="6" t="s">
        <v>33</v>
      </c>
      <c r="B83">
        <v>-5505.97</v>
      </c>
      <c r="C83">
        <v>-5875.29</v>
      </c>
      <c r="D83">
        <v>-5467.22</v>
      </c>
      <c r="E83">
        <v>-7173.97</v>
      </c>
      <c r="F83">
        <v>-6869.79</v>
      </c>
      <c r="G83">
        <v>-19685.5</v>
      </c>
      <c r="H83">
        <v>-3251.95</v>
      </c>
      <c r="I83">
        <v>-8866.27</v>
      </c>
      <c r="J83">
        <v>-5614.77</v>
      </c>
      <c r="K83">
        <v>-18616.13</v>
      </c>
    </row>
    <row r="84" spans="1:11" s="6" customFormat="1" x14ac:dyDescent="0.35">
      <c r="A84" s="6" t="s">
        <v>34</v>
      </c>
      <c r="B84">
        <v>2966.81</v>
      </c>
      <c r="C84">
        <v>6107.97</v>
      </c>
      <c r="D84">
        <v>6314.5</v>
      </c>
      <c r="E84">
        <v>13193.63</v>
      </c>
      <c r="F84">
        <v>6932.75</v>
      </c>
      <c r="G84">
        <v>406.23</v>
      </c>
      <c r="H84">
        <v>-5882.6</v>
      </c>
      <c r="I84">
        <v>15946.11</v>
      </c>
      <c r="J84">
        <v>12281.41</v>
      </c>
      <c r="K84">
        <v>15834.11</v>
      </c>
    </row>
    <row r="85" spans="1:11" s="1" customFormat="1" x14ac:dyDescent="0.35">
      <c r="A85" s="6" t="s">
        <v>35</v>
      </c>
      <c r="B85">
        <v>-154.4</v>
      </c>
      <c r="C85">
        <v>415.77</v>
      </c>
      <c r="D85">
        <v>1529.14</v>
      </c>
      <c r="E85">
        <v>1672.37</v>
      </c>
      <c r="F85">
        <v>-1393.97</v>
      </c>
      <c r="G85">
        <v>-1370.44</v>
      </c>
      <c r="H85">
        <v>113</v>
      </c>
      <c r="I85">
        <v>5.82</v>
      </c>
      <c r="J85">
        <v>1036.69</v>
      </c>
      <c r="K85">
        <v>393.79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68</v>
      </c>
      <c r="B90">
        <v>605.35</v>
      </c>
      <c r="C90">
        <v>643.45000000000005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35">
      <c r="A92" s="1" t="s">
        <v>67</v>
      </c>
    </row>
    <row r="93" spans="1:11" x14ac:dyDescent="0.35">
      <c r="A93" s="4" t="s">
        <v>80</v>
      </c>
      <c r="B93" s="22">
        <v>124.22</v>
      </c>
      <c r="C93" s="22">
        <v>124.22</v>
      </c>
      <c r="D93" s="22">
        <v>124.32</v>
      </c>
      <c r="E93" s="22">
        <v>124.32</v>
      </c>
      <c r="F93" s="22">
        <v>124.32</v>
      </c>
      <c r="G93" s="22">
        <v>124.32</v>
      </c>
      <c r="H93" s="22">
        <v>124.32</v>
      </c>
      <c r="I93" s="22">
        <v>124.35</v>
      </c>
      <c r="J93" s="22">
        <v>124.35</v>
      </c>
      <c r="K93" s="22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34"/>
  <sheetViews>
    <sheetView showGridLines="0" topLeftCell="A15" zoomScale="84" zoomScaleNormal="84" zoomScalePageLayoutView="150" workbookViewId="0">
      <selection activeCell="B24" sqref="B24"/>
    </sheetView>
  </sheetViews>
  <sheetFormatPr defaultColWidth="8.81640625" defaultRowHeight="14.5" x14ac:dyDescent="0.35"/>
  <cols>
    <col min="1" max="1" width="1.26953125" style="2" customWidth="1"/>
    <col min="2" max="2" width="30" bestFit="1" customWidth="1"/>
    <col min="3" max="3" width="14.1796875" style="20" bestFit="1" customWidth="1"/>
    <col min="4" max="4" width="14.1796875" bestFit="1" customWidth="1"/>
    <col min="5" max="9" width="15.6328125" bestFit="1" customWidth="1"/>
    <col min="10" max="10" width="14.7265625" bestFit="1" customWidth="1"/>
    <col min="11" max="13" width="15.453125" bestFit="1" customWidth="1"/>
    <col min="14" max="14" width="15.6328125" bestFit="1" customWidth="1"/>
  </cols>
  <sheetData>
    <row r="1" spans="1:14" ht="21" x14ac:dyDescent="0.5">
      <c r="A1" s="19"/>
    </row>
    <row r="2" spans="1:14" ht="15" thickBot="1" x14ac:dyDescent="0.4">
      <c r="C2" s="60">
        <v>42064</v>
      </c>
      <c r="D2" s="60">
        <v>42430</v>
      </c>
      <c r="E2" s="60">
        <v>42795</v>
      </c>
      <c r="F2" s="60">
        <v>43160</v>
      </c>
      <c r="G2" s="60">
        <v>43525</v>
      </c>
      <c r="H2" s="60">
        <v>43891</v>
      </c>
      <c r="I2" s="60">
        <v>44256</v>
      </c>
      <c r="J2" s="60">
        <v>44621</v>
      </c>
      <c r="K2" s="60">
        <v>44986</v>
      </c>
      <c r="L2" s="60">
        <v>45352</v>
      </c>
      <c r="M2" s="60">
        <v>45717</v>
      </c>
      <c r="N2" s="60">
        <v>46082</v>
      </c>
    </row>
    <row r="3" spans="1:14" ht="15" thickBot="1" x14ac:dyDescent="0.4">
      <c r="B3" s="71" t="s">
        <v>146</v>
      </c>
      <c r="C3" s="72">
        <v>1055</v>
      </c>
      <c r="D3" s="72">
        <v>2385</v>
      </c>
      <c r="E3" s="72">
        <v>183</v>
      </c>
      <c r="F3" s="72">
        <v>682</v>
      </c>
      <c r="G3" s="72">
        <v>-4347</v>
      </c>
      <c r="H3" s="72">
        <v>-1457</v>
      </c>
      <c r="I3" s="72">
        <v>17909</v>
      </c>
      <c r="J3" s="72">
        <v>9248</v>
      </c>
      <c r="K3" s="72">
        <v>-7074</v>
      </c>
      <c r="L3" s="72">
        <v>-5630</v>
      </c>
      <c r="M3" s="72">
        <v>3176</v>
      </c>
      <c r="N3" s="72">
        <v>11657</v>
      </c>
    </row>
    <row r="4" spans="1:14" x14ac:dyDescent="0.35">
      <c r="B4" s="73" t="s">
        <v>118</v>
      </c>
      <c r="C4" s="72">
        <v>6454</v>
      </c>
      <c r="D4" s="72">
        <v>7595</v>
      </c>
      <c r="E4" s="72">
        <v>7911</v>
      </c>
      <c r="F4" s="72">
        <v>10159</v>
      </c>
      <c r="G4" s="72">
        <v>11112</v>
      </c>
      <c r="H4" s="72">
        <v>7774</v>
      </c>
      <c r="I4" s="72">
        <v>7588</v>
      </c>
      <c r="J4" s="72">
        <v>10515</v>
      </c>
      <c r="K4" s="72">
        <v>15642</v>
      </c>
      <c r="L4" s="72">
        <v>17541</v>
      </c>
      <c r="M4" s="72">
        <v>22050</v>
      </c>
      <c r="N4" s="72">
        <v>28938</v>
      </c>
    </row>
    <row r="5" spans="1:14" x14ac:dyDescent="0.35">
      <c r="B5" s="61" t="s">
        <v>69</v>
      </c>
      <c r="C5" s="65">
        <v>-575</v>
      </c>
      <c r="D5" s="65">
        <v>177</v>
      </c>
      <c r="E5" s="65">
        <v>-8609</v>
      </c>
      <c r="F5" s="65">
        <v>-11918</v>
      </c>
      <c r="G5" s="65">
        <v>-13712</v>
      </c>
      <c r="H5" s="65">
        <v>-1516</v>
      </c>
      <c r="I5" s="65">
        <v>4896</v>
      </c>
      <c r="J5" s="65">
        <v>-2506</v>
      </c>
      <c r="K5" s="65">
        <v>-21702</v>
      </c>
      <c r="L5" s="65">
        <v>-21777</v>
      </c>
      <c r="M5" s="65">
        <v>-20952</v>
      </c>
      <c r="N5" s="65">
        <v>-3516</v>
      </c>
    </row>
    <row r="6" spans="1:14" x14ac:dyDescent="0.35">
      <c r="B6" s="61" t="s">
        <v>45</v>
      </c>
      <c r="C6" s="65">
        <v>-62</v>
      </c>
      <c r="D6" s="65">
        <v>-1113</v>
      </c>
      <c r="E6" s="65">
        <v>241</v>
      </c>
      <c r="F6" s="65">
        <v>-256</v>
      </c>
      <c r="G6" s="65">
        <v>-2276</v>
      </c>
      <c r="H6" s="65">
        <v>1316</v>
      </c>
      <c r="I6" s="65">
        <v>226</v>
      </c>
      <c r="J6" s="65">
        <v>-2173</v>
      </c>
      <c r="K6" s="65">
        <v>-5252</v>
      </c>
      <c r="L6" s="65">
        <v>-1753</v>
      </c>
      <c r="M6" s="65">
        <v>-1646</v>
      </c>
      <c r="N6" s="65">
        <v>-593</v>
      </c>
    </row>
    <row r="7" spans="1:14" x14ac:dyDescent="0.35">
      <c r="B7" s="61" t="s">
        <v>119</v>
      </c>
      <c r="C7" s="65">
        <v>1169</v>
      </c>
      <c r="D7" s="65">
        <v>1939</v>
      </c>
      <c r="E7" s="65">
        <v>2645</v>
      </c>
      <c r="F7" s="65">
        <v>5361</v>
      </c>
      <c r="G7" s="65">
        <v>3466</v>
      </c>
      <c r="H7" s="65">
        <v>-6775</v>
      </c>
      <c r="I7" s="65">
        <v>7049</v>
      </c>
      <c r="J7" s="65">
        <v>4972</v>
      </c>
      <c r="K7" s="65">
        <v>7013</v>
      </c>
      <c r="L7" s="65">
        <v>4354</v>
      </c>
      <c r="M7" s="65">
        <v>8485</v>
      </c>
      <c r="N7" s="65">
        <v>8763</v>
      </c>
    </row>
    <row r="8" spans="1:14" x14ac:dyDescent="0.35">
      <c r="B8" s="61" t="s">
        <v>120</v>
      </c>
      <c r="C8" s="65">
        <v>-4229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 spans="1:14" ht="15" thickBot="1" x14ac:dyDescent="0.4">
      <c r="B9" s="61" t="s">
        <v>121</v>
      </c>
      <c r="C9" s="65">
        <v>0</v>
      </c>
      <c r="D9" s="65">
        <v>-4241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-15670</v>
      </c>
    </row>
    <row r="10" spans="1:14" x14ac:dyDescent="0.35">
      <c r="B10" s="73" t="s">
        <v>122</v>
      </c>
      <c r="C10" s="72">
        <v>-3698</v>
      </c>
      <c r="D10" s="72">
        <v>-3238</v>
      </c>
      <c r="E10" s="72">
        <v>-5724</v>
      </c>
      <c r="F10" s="72">
        <v>-6813</v>
      </c>
      <c r="G10" s="72">
        <v>-12522</v>
      </c>
      <c r="H10" s="72">
        <v>-6974</v>
      </c>
      <c r="I10" s="72">
        <v>12171</v>
      </c>
      <c r="J10" s="72">
        <v>293</v>
      </c>
      <c r="K10" s="72">
        <v>-19941</v>
      </c>
      <c r="L10" s="72">
        <v>-19175</v>
      </c>
      <c r="M10" s="72">
        <v>-14113</v>
      </c>
      <c r="N10" s="72">
        <v>-11016</v>
      </c>
    </row>
    <row r="11" spans="1:14" ht="15" thickBot="1" x14ac:dyDescent="0.4">
      <c r="B11" s="61" t="s">
        <v>123</v>
      </c>
      <c r="C11" s="65">
        <v>-1701</v>
      </c>
      <c r="D11" s="65">
        <v>-1973</v>
      </c>
      <c r="E11" s="65">
        <v>-2005</v>
      </c>
      <c r="F11" s="65">
        <v>-2664</v>
      </c>
      <c r="G11" s="65">
        <v>-2937</v>
      </c>
      <c r="H11" s="65">
        <v>-2257</v>
      </c>
      <c r="I11" s="65">
        <v>-1850</v>
      </c>
      <c r="J11" s="65">
        <v>-1560</v>
      </c>
      <c r="K11" s="65">
        <v>-2775</v>
      </c>
      <c r="L11" s="65">
        <v>-3996</v>
      </c>
      <c r="M11" s="65">
        <v>-4761</v>
      </c>
      <c r="N11" s="65">
        <v>-6265</v>
      </c>
    </row>
    <row r="12" spans="1:14" x14ac:dyDescent="0.35">
      <c r="B12" s="74" t="s">
        <v>147</v>
      </c>
      <c r="C12" s="75">
        <v>-4357</v>
      </c>
      <c r="D12" s="75">
        <v>-5506</v>
      </c>
      <c r="E12" s="75">
        <v>-5875</v>
      </c>
      <c r="F12" s="75">
        <v>-5467</v>
      </c>
      <c r="G12" s="75">
        <v>-7174</v>
      </c>
      <c r="H12" s="75">
        <v>-6870</v>
      </c>
      <c r="I12" s="75">
        <v>-19686</v>
      </c>
      <c r="J12" s="75">
        <v>-3252</v>
      </c>
      <c r="K12" s="75">
        <v>-8866</v>
      </c>
      <c r="L12" s="75">
        <v>-5615</v>
      </c>
      <c r="M12" s="75">
        <v>-18616</v>
      </c>
      <c r="N12" s="75">
        <v>-17707</v>
      </c>
    </row>
    <row r="13" spans="1:14" x14ac:dyDescent="0.35">
      <c r="B13" s="62" t="s">
        <v>124</v>
      </c>
      <c r="C13" s="66">
        <v>-4759</v>
      </c>
      <c r="D13" s="66">
        <v>-4172</v>
      </c>
      <c r="E13" s="66">
        <v>-5026</v>
      </c>
      <c r="F13" s="66">
        <v>-5906</v>
      </c>
      <c r="G13" s="66">
        <v>-7340</v>
      </c>
      <c r="H13" s="66">
        <v>-6896</v>
      </c>
      <c r="I13" s="66">
        <v>-5989</v>
      </c>
      <c r="J13" s="66">
        <v>-6040</v>
      </c>
      <c r="K13" s="66">
        <v>-6305</v>
      </c>
      <c r="L13" s="66">
        <v>-9946</v>
      </c>
      <c r="M13" s="66">
        <v>-10392</v>
      </c>
      <c r="N13" s="66">
        <v>-9605</v>
      </c>
    </row>
    <row r="14" spans="1:14" x14ac:dyDescent="0.35">
      <c r="B14" s="62" t="s">
        <v>125</v>
      </c>
      <c r="C14" s="66">
        <v>43</v>
      </c>
      <c r="D14" s="66">
        <v>59</v>
      </c>
      <c r="E14" s="66">
        <v>63</v>
      </c>
      <c r="F14" s="66">
        <v>115</v>
      </c>
      <c r="G14" s="66">
        <v>142</v>
      </c>
      <c r="H14" s="66">
        <v>102</v>
      </c>
      <c r="I14" s="66">
        <v>1364</v>
      </c>
      <c r="J14" s="66">
        <v>120</v>
      </c>
      <c r="K14" s="66">
        <v>138</v>
      </c>
      <c r="L14" s="66">
        <v>273</v>
      </c>
      <c r="M14" s="66">
        <v>583</v>
      </c>
      <c r="N14" s="66">
        <v>493</v>
      </c>
    </row>
    <row r="15" spans="1:14" x14ac:dyDescent="0.35">
      <c r="B15" s="62" t="s">
        <v>126</v>
      </c>
      <c r="C15" s="66">
        <v>-80047</v>
      </c>
      <c r="D15" s="66">
        <v>-87898</v>
      </c>
      <c r="E15" s="66">
        <v>-132173</v>
      </c>
      <c r="F15" s="66">
        <v>-155159</v>
      </c>
      <c r="G15" s="66">
        <v>-196474</v>
      </c>
      <c r="H15" s="66">
        <v>-198568</v>
      </c>
      <c r="I15" s="66">
        <v>-120055</v>
      </c>
      <c r="J15" s="66">
        <v>-65421</v>
      </c>
      <c r="K15" s="66">
        <v>-50165</v>
      </c>
      <c r="L15" s="66">
        <v>-49927</v>
      </c>
      <c r="M15" s="66">
        <v>-90595</v>
      </c>
      <c r="N15" s="66">
        <v>-141518</v>
      </c>
    </row>
    <row r="16" spans="1:14" x14ac:dyDescent="0.35">
      <c r="B16" s="62" t="s">
        <v>127</v>
      </c>
      <c r="C16" s="66">
        <v>79778</v>
      </c>
      <c r="D16" s="66">
        <v>86436</v>
      </c>
      <c r="E16" s="66">
        <v>130940</v>
      </c>
      <c r="F16" s="66">
        <v>154631</v>
      </c>
      <c r="G16" s="66">
        <v>195898</v>
      </c>
      <c r="H16" s="66">
        <v>198132</v>
      </c>
      <c r="I16" s="66">
        <v>111749</v>
      </c>
      <c r="J16" s="66">
        <v>65127</v>
      </c>
      <c r="K16" s="66">
        <v>46269</v>
      </c>
      <c r="L16" s="66">
        <v>50919</v>
      </c>
      <c r="M16" s="66">
        <v>85257</v>
      </c>
      <c r="N16" s="66">
        <v>146546</v>
      </c>
    </row>
    <row r="17" spans="2:14" x14ac:dyDescent="0.35">
      <c r="B17" s="62" t="s">
        <v>128</v>
      </c>
      <c r="C17" s="66">
        <v>356</v>
      </c>
      <c r="D17" s="66">
        <v>311</v>
      </c>
      <c r="E17" s="66">
        <v>346</v>
      </c>
      <c r="F17" s="66">
        <v>254</v>
      </c>
      <c r="G17" s="66">
        <v>314</v>
      </c>
      <c r="H17" s="66">
        <v>372</v>
      </c>
      <c r="I17" s="66">
        <v>431</v>
      </c>
      <c r="J17" s="66">
        <v>420</v>
      </c>
      <c r="K17" s="66">
        <v>464</v>
      </c>
      <c r="L17" s="66">
        <v>703</v>
      </c>
      <c r="M17" s="66">
        <v>884</v>
      </c>
      <c r="N17" s="66">
        <v>1559</v>
      </c>
    </row>
    <row r="18" spans="2:14" x14ac:dyDescent="0.35">
      <c r="B18" s="62" t="s">
        <v>129</v>
      </c>
      <c r="C18" s="66">
        <v>169</v>
      </c>
      <c r="D18" s="66">
        <v>208</v>
      </c>
      <c r="E18" s="66">
        <v>409</v>
      </c>
      <c r="F18" s="66">
        <v>316</v>
      </c>
      <c r="G18" s="66">
        <v>466</v>
      </c>
      <c r="H18" s="66">
        <v>722</v>
      </c>
      <c r="I18" s="66">
        <v>577</v>
      </c>
      <c r="J18" s="66">
        <v>1247</v>
      </c>
      <c r="K18" s="66">
        <v>1397</v>
      </c>
      <c r="L18" s="66">
        <v>1213</v>
      </c>
      <c r="M18" s="66">
        <v>1374</v>
      </c>
      <c r="N18" s="66">
        <v>1287</v>
      </c>
    </row>
    <row r="19" spans="2:14" x14ac:dyDescent="0.35">
      <c r="B19" s="62" t="s">
        <v>130</v>
      </c>
      <c r="C19" s="66">
        <v>0</v>
      </c>
      <c r="D19" s="66">
        <v>-147</v>
      </c>
      <c r="E19" s="66">
        <v>-647</v>
      </c>
      <c r="F19" s="66">
        <v>-704</v>
      </c>
      <c r="G19" s="66">
        <v>-319</v>
      </c>
      <c r="H19" s="66">
        <v>-418</v>
      </c>
      <c r="I19" s="66">
        <v>-359</v>
      </c>
      <c r="J19" s="66">
        <v>-222</v>
      </c>
      <c r="K19" s="66">
        <v>-62</v>
      </c>
      <c r="L19" s="66">
        <v>-249</v>
      </c>
      <c r="M19" s="66">
        <v>-29</v>
      </c>
      <c r="N19" s="66">
        <v>-785</v>
      </c>
    </row>
    <row r="20" spans="2:14" x14ac:dyDescent="0.35">
      <c r="B20" s="62" t="s">
        <v>131</v>
      </c>
      <c r="C20" s="66">
        <v>401</v>
      </c>
      <c r="D20" s="66">
        <v>0</v>
      </c>
      <c r="E20" s="66">
        <v>88</v>
      </c>
      <c r="F20" s="66">
        <v>1677</v>
      </c>
      <c r="G20" s="66">
        <v>717</v>
      </c>
      <c r="H20" s="66">
        <v>175</v>
      </c>
      <c r="I20" s="66">
        <v>316</v>
      </c>
      <c r="J20" s="66">
        <v>617</v>
      </c>
      <c r="K20" s="66">
        <v>1863</v>
      </c>
      <c r="L20" s="66">
        <v>1043</v>
      </c>
      <c r="M20" s="66">
        <v>620</v>
      </c>
      <c r="N20" s="66">
        <v>625</v>
      </c>
    </row>
    <row r="21" spans="2:14" x14ac:dyDescent="0.35">
      <c r="B21" s="62" t="s">
        <v>132</v>
      </c>
      <c r="C21" s="66">
        <v>0</v>
      </c>
      <c r="D21" s="66">
        <v>-208</v>
      </c>
      <c r="E21" s="66">
        <v>-83</v>
      </c>
      <c r="F21" s="66">
        <v>-401</v>
      </c>
      <c r="G21" s="66">
        <v>0</v>
      </c>
      <c r="H21" s="66">
        <v>-59</v>
      </c>
      <c r="I21" s="66">
        <v>0</v>
      </c>
      <c r="J21" s="66">
        <v>-42</v>
      </c>
      <c r="K21" s="66">
        <v>-587</v>
      </c>
      <c r="L21" s="66">
        <v>-53</v>
      </c>
      <c r="M21" s="66">
        <v>0</v>
      </c>
      <c r="N21" s="66">
        <v>-885</v>
      </c>
    </row>
    <row r="22" spans="2:14" x14ac:dyDescent="0.35">
      <c r="B22" s="62" t="s">
        <v>133</v>
      </c>
      <c r="C22" s="66">
        <v>-22</v>
      </c>
      <c r="D22" s="66">
        <v>0</v>
      </c>
      <c r="E22" s="66">
        <v>0</v>
      </c>
      <c r="F22" s="66">
        <v>0</v>
      </c>
      <c r="G22" s="66">
        <v>0</v>
      </c>
      <c r="H22" s="66">
        <v>6</v>
      </c>
      <c r="I22" s="66">
        <v>-262</v>
      </c>
      <c r="J22" s="66">
        <v>-552</v>
      </c>
      <c r="K22" s="66">
        <v>-93</v>
      </c>
      <c r="L22" s="66">
        <v>485</v>
      </c>
      <c r="M22" s="66">
        <v>-244</v>
      </c>
      <c r="N22" s="66">
        <v>0</v>
      </c>
    </row>
    <row r="23" spans="2:14" ht="15" thickBot="1" x14ac:dyDescent="0.4">
      <c r="B23" s="62" t="s">
        <v>134</v>
      </c>
      <c r="C23" s="66">
        <v>-275</v>
      </c>
      <c r="D23" s="66">
        <v>-94</v>
      </c>
      <c r="E23" s="66">
        <v>209</v>
      </c>
      <c r="F23" s="66">
        <v>-290</v>
      </c>
      <c r="G23" s="66">
        <v>-577</v>
      </c>
      <c r="H23" s="66">
        <v>-437</v>
      </c>
      <c r="I23" s="66">
        <v>-7457</v>
      </c>
      <c r="J23" s="66">
        <v>1494</v>
      </c>
      <c r="K23" s="66">
        <v>-1786</v>
      </c>
      <c r="L23" s="66">
        <v>-78</v>
      </c>
      <c r="M23" s="66">
        <v>-6075</v>
      </c>
      <c r="N23" s="66">
        <v>-15425</v>
      </c>
    </row>
    <row r="24" spans="2:14" x14ac:dyDescent="0.35">
      <c r="B24" s="71" t="s">
        <v>148</v>
      </c>
      <c r="C24" s="72">
        <v>1669</v>
      </c>
      <c r="D24" s="72">
        <v>2967</v>
      </c>
      <c r="E24" s="72">
        <v>6108</v>
      </c>
      <c r="F24" s="72">
        <v>6314</v>
      </c>
      <c r="G24" s="72">
        <v>13194</v>
      </c>
      <c r="H24" s="72">
        <v>6933</v>
      </c>
      <c r="I24" s="72">
        <v>406</v>
      </c>
      <c r="J24" s="72">
        <v>-5883</v>
      </c>
      <c r="K24" s="72">
        <v>15946</v>
      </c>
      <c r="L24" s="72">
        <v>12281</v>
      </c>
      <c r="M24" s="72">
        <v>15834</v>
      </c>
      <c r="N24" s="72">
        <v>5391</v>
      </c>
    </row>
    <row r="25" spans="2:14" x14ac:dyDescent="0.35">
      <c r="B25" s="61" t="s">
        <v>135</v>
      </c>
      <c r="C25" s="65">
        <v>3</v>
      </c>
      <c r="D25" s="65">
        <v>18</v>
      </c>
      <c r="E25" s="65">
        <v>12</v>
      </c>
      <c r="F25" s="65">
        <v>4</v>
      </c>
      <c r="G25" s="65">
        <v>1</v>
      </c>
      <c r="H25" s="65">
        <v>1243</v>
      </c>
      <c r="I25" s="65">
        <v>1</v>
      </c>
      <c r="J25" s="65">
        <v>1</v>
      </c>
      <c r="K25" s="65">
        <v>1</v>
      </c>
      <c r="L25" s="65">
        <v>1</v>
      </c>
      <c r="M25" s="65">
        <v>1</v>
      </c>
      <c r="N25" s="65">
        <v>1</v>
      </c>
    </row>
    <row r="26" spans="2:14" x14ac:dyDescent="0.35">
      <c r="B26" s="61" t="s">
        <v>136</v>
      </c>
      <c r="C26" s="65">
        <v>0</v>
      </c>
      <c r="D26" s="65">
        <v>0</v>
      </c>
      <c r="E26" s="65">
        <v>0</v>
      </c>
      <c r="F26" s="65">
        <v>0</v>
      </c>
      <c r="G26" s="65">
        <v>71389</v>
      </c>
      <c r="H26" s="65">
        <v>52618</v>
      </c>
      <c r="I26" s="65">
        <v>38100</v>
      </c>
      <c r="J26" s="65">
        <v>53880</v>
      </c>
      <c r="K26" s="65">
        <v>55622</v>
      </c>
      <c r="L26" s="65">
        <v>61308</v>
      </c>
      <c r="M26" s="65">
        <v>82590</v>
      </c>
      <c r="N26" s="65">
        <v>79722</v>
      </c>
    </row>
    <row r="27" spans="2:14" x14ac:dyDescent="0.35">
      <c r="B27" s="61" t="s">
        <v>137</v>
      </c>
      <c r="C27" s="65">
        <v>0</v>
      </c>
      <c r="D27" s="65">
        <v>0</v>
      </c>
      <c r="E27" s="65">
        <v>0</v>
      </c>
      <c r="F27" s="65">
        <v>0</v>
      </c>
      <c r="G27" s="65">
        <v>-56352</v>
      </c>
      <c r="H27" s="65">
        <v>-44044</v>
      </c>
      <c r="I27" s="65">
        <v>-37505</v>
      </c>
      <c r="J27" s="65">
        <v>-57223</v>
      </c>
      <c r="K27" s="65">
        <v>-37056</v>
      </c>
      <c r="L27" s="65">
        <v>-46805</v>
      </c>
      <c r="M27" s="65">
        <v>-64689</v>
      </c>
      <c r="N27" s="65">
        <v>-72288</v>
      </c>
    </row>
    <row r="28" spans="2:14" x14ac:dyDescent="0.35">
      <c r="B28" s="61" t="s">
        <v>138</v>
      </c>
      <c r="C28" s="65">
        <v>-489</v>
      </c>
      <c r="D28" s="65">
        <v>-443</v>
      </c>
      <c r="E28" s="65">
        <v>-471</v>
      </c>
      <c r="F28" s="65">
        <v>-521</v>
      </c>
      <c r="G28" s="65">
        <v>-723</v>
      </c>
      <c r="H28" s="65">
        <v>-624</v>
      </c>
      <c r="I28" s="65">
        <v>-809</v>
      </c>
      <c r="J28" s="65">
        <v>-680</v>
      </c>
      <c r="K28" s="65">
        <v>-734</v>
      </c>
      <c r="L28" s="65">
        <v>-597</v>
      </c>
      <c r="M28" s="65">
        <v>-436</v>
      </c>
      <c r="N28" s="65">
        <v>-344</v>
      </c>
    </row>
    <row r="29" spans="2:14" x14ac:dyDescent="0.35">
      <c r="B29" s="61" t="s">
        <v>139</v>
      </c>
      <c r="C29" s="65">
        <v>-1200</v>
      </c>
      <c r="D29" s="65">
        <v>-932</v>
      </c>
      <c r="E29" s="65">
        <v>-936</v>
      </c>
      <c r="F29" s="65">
        <v>-963</v>
      </c>
      <c r="G29" s="65">
        <v>-1134</v>
      </c>
      <c r="H29" s="65">
        <v>-1398</v>
      </c>
      <c r="I29" s="65">
        <v>-271</v>
      </c>
      <c r="J29" s="65">
        <v>-1037</v>
      </c>
      <c r="K29" s="65">
        <v>-1522</v>
      </c>
      <c r="L29" s="65">
        <v>-2247</v>
      </c>
      <c r="M29" s="65">
        <v>-2806</v>
      </c>
      <c r="N29" s="65">
        <v>-3376</v>
      </c>
    </row>
    <row r="30" spans="2:14" x14ac:dyDescent="0.35">
      <c r="B30" s="61" t="s">
        <v>140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-558</v>
      </c>
      <c r="I30" s="65">
        <v>-553</v>
      </c>
      <c r="J30" s="65">
        <v>-583</v>
      </c>
      <c r="K30" s="65">
        <v>-751</v>
      </c>
      <c r="L30" s="65">
        <v>-786</v>
      </c>
      <c r="M30" s="65">
        <v>-887</v>
      </c>
      <c r="N30" s="65">
        <v>-967</v>
      </c>
    </row>
    <row r="31" spans="2:14" ht="15" thickBot="1" x14ac:dyDescent="0.4">
      <c r="B31" s="61" t="s">
        <v>141</v>
      </c>
      <c r="C31" s="65">
        <v>3355</v>
      </c>
      <c r="D31" s="65">
        <v>4324</v>
      </c>
      <c r="E31" s="65">
        <v>7503</v>
      </c>
      <c r="F31" s="65">
        <v>7794</v>
      </c>
      <c r="G31" s="65">
        <v>12</v>
      </c>
      <c r="H31" s="65">
        <v>-304</v>
      </c>
      <c r="I31" s="65">
        <v>1444</v>
      </c>
      <c r="J31" s="65">
        <v>-240</v>
      </c>
      <c r="K31" s="65">
        <v>386</v>
      </c>
      <c r="L31" s="65">
        <v>1408</v>
      </c>
      <c r="M31" s="65">
        <v>2062</v>
      </c>
      <c r="N31" s="65">
        <v>2644</v>
      </c>
    </row>
    <row r="32" spans="2:14" x14ac:dyDescent="0.35">
      <c r="B32" s="74" t="s">
        <v>35</v>
      </c>
      <c r="C32" s="75">
        <v>-1633</v>
      </c>
      <c r="D32" s="75">
        <v>-154</v>
      </c>
      <c r="E32" s="75">
        <v>416</v>
      </c>
      <c r="F32" s="75">
        <v>1529</v>
      </c>
      <c r="G32" s="75">
        <v>1672</v>
      </c>
      <c r="H32" s="75">
        <v>-1394</v>
      </c>
      <c r="I32" s="75">
        <v>-1370</v>
      </c>
      <c r="J32" s="75">
        <v>113</v>
      </c>
      <c r="K32" s="75">
        <v>6</v>
      </c>
      <c r="L32" s="75">
        <v>1037</v>
      </c>
      <c r="M32" s="75">
        <v>394</v>
      </c>
      <c r="N32" s="75">
        <v>-659</v>
      </c>
    </row>
    <row r="33" spans="2:14" x14ac:dyDescent="0.35">
      <c r="B33" s="63" t="s">
        <v>142</v>
      </c>
      <c r="C33" s="67">
        <v>-3661</v>
      </c>
      <c r="D33" s="67">
        <v>-1729</v>
      </c>
      <c r="E33" s="67">
        <v>-4780</v>
      </c>
      <c r="F33" s="67">
        <v>-5109</v>
      </c>
      <c r="G33" s="67">
        <v>-11546</v>
      </c>
      <c r="H33" s="67">
        <v>-8251</v>
      </c>
      <c r="I33" s="67">
        <v>13283</v>
      </c>
      <c r="J33" s="67">
        <v>3328</v>
      </c>
      <c r="K33" s="67">
        <v>-13241</v>
      </c>
      <c r="L33" s="67">
        <v>-15303</v>
      </c>
      <c r="M33" s="67">
        <v>-6633</v>
      </c>
      <c r="N33" s="67">
        <v>2545</v>
      </c>
    </row>
    <row r="34" spans="2:14" x14ac:dyDescent="0.35">
      <c r="B34" s="64" t="s">
        <v>143</v>
      </c>
      <c r="C34" s="68">
        <v>0.31</v>
      </c>
      <c r="D34" s="68">
        <v>0.43</v>
      </c>
      <c r="E34" s="68">
        <v>0.2</v>
      </c>
      <c r="F34" s="68">
        <v>0.25</v>
      </c>
      <c r="G34" s="68">
        <v>-0.09</v>
      </c>
      <c r="H34" s="68">
        <v>0.08</v>
      </c>
      <c r="I34" s="68">
        <v>1.72</v>
      </c>
      <c r="J34" s="68">
        <v>0.74</v>
      </c>
      <c r="K34" s="68">
        <v>-0.21</v>
      </c>
      <c r="L34" s="68">
        <v>-7.0000000000000007E-2</v>
      </c>
      <c r="M34" s="68">
        <v>0.26</v>
      </c>
      <c r="N34" s="68">
        <v>0.48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632D-19AF-45B8-BE33-93BD3A5B3350}">
  <sheetPr>
    <tabColor rgb="FF002060"/>
  </sheetPr>
  <dimension ref="A2:O107"/>
  <sheetViews>
    <sheetView showGridLines="0" tabSelected="1" topLeftCell="A93" zoomScale="79" workbookViewId="0">
      <selection activeCell="B109" sqref="B109"/>
    </sheetView>
  </sheetViews>
  <sheetFormatPr defaultRowHeight="14.5" x14ac:dyDescent="0.35"/>
  <cols>
    <col min="1" max="1" width="2.1796875" customWidth="1"/>
    <col min="2" max="2" width="50.81640625" bestFit="1" customWidth="1"/>
    <col min="3" max="3" width="13.08984375" bestFit="1" customWidth="1"/>
    <col min="4" max="4" width="13.1796875" bestFit="1" customWidth="1"/>
    <col min="5" max="9" width="13.90625" bestFit="1" customWidth="1"/>
    <col min="10" max="12" width="13.1796875" bestFit="1" customWidth="1"/>
    <col min="13" max="13" width="13" bestFit="1" customWidth="1"/>
    <col min="14" max="14" width="27.7265625" bestFit="1" customWidth="1"/>
  </cols>
  <sheetData>
    <row r="2" spans="1:14" ht="13.5" customHeight="1" x14ac:dyDescent="0.35">
      <c r="A2" t="s">
        <v>109</v>
      </c>
      <c r="B2" s="23" t="str">
        <f>" historical fiancial statement " &amp;'Data Sheet'!B1</f>
        <v xml:space="preserve"> historical fiancial statement MAHINDRA &amp; MAHINDRA LTD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ht="13.5" customHeight="1" x14ac:dyDescent="0.3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4" x14ac:dyDescent="0.35">
      <c r="B4" s="78" t="s">
        <v>81</v>
      </c>
      <c r="C4" s="79">
        <f>'Data Sheet'!B16</f>
        <v>42460</v>
      </c>
      <c r="D4" s="79">
        <f>'Data Sheet'!C16</f>
        <v>42825</v>
      </c>
      <c r="E4" s="79">
        <f>'Data Sheet'!D16</f>
        <v>43190</v>
      </c>
      <c r="F4" s="79">
        <f>'Data Sheet'!E16</f>
        <v>43555</v>
      </c>
      <c r="G4" s="79">
        <f>'Data Sheet'!F16</f>
        <v>43921</v>
      </c>
      <c r="H4" s="79">
        <f>'Data Sheet'!G16</f>
        <v>44286</v>
      </c>
      <c r="I4" s="79">
        <f>'Data Sheet'!H16</f>
        <v>44651</v>
      </c>
      <c r="J4" s="79">
        <f>'Data Sheet'!I16</f>
        <v>45016</v>
      </c>
      <c r="K4" s="79">
        <f>'Data Sheet'!J16</f>
        <v>45382</v>
      </c>
      <c r="L4" s="79">
        <f>'Data Sheet'!K16</f>
        <v>45747</v>
      </c>
      <c r="M4" s="80" t="s">
        <v>84</v>
      </c>
    </row>
    <row r="5" spans="1:14" ht="15" thickBot="1" x14ac:dyDescent="0.4">
      <c r="A5" t="s">
        <v>109</v>
      </c>
      <c r="B5" s="23" t="s">
        <v>82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4" ht="15.5" thickTop="1" thickBot="1" x14ac:dyDescent="0.4">
      <c r="B6" s="38" t="s">
        <v>83</v>
      </c>
      <c r="C6" s="44">
        <f>IFERROR('Data Sheet'!B17,0)</f>
        <v>75841.42</v>
      </c>
      <c r="D6" s="44">
        <f>IFERROR('Data Sheet'!C17,0)</f>
        <v>83773.05</v>
      </c>
      <c r="E6" s="44">
        <f>IFERROR('Data Sheet'!D17,0)</f>
        <v>92093.95</v>
      </c>
      <c r="F6" s="44">
        <f>IFERROR('Data Sheet'!E17,0)</f>
        <v>104720.68</v>
      </c>
      <c r="G6" s="44">
        <f>IFERROR('Data Sheet'!F17,0)</f>
        <v>75381.929999999993</v>
      </c>
      <c r="H6" s="44">
        <f>IFERROR('Data Sheet'!G17,0)</f>
        <v>74277.78</v>
      </c>
      <c r="I6" s="44">
        <f>IFERROR('Data Sheet'!H17,0)</f>
        <v>90170.57</v>
      </c>
      <c r="J6" s="44">
        <f>IFERROR('Data Sheet'!I17,0)</f>
        <v>121268.55</v>
      </c>
      <c r="K6" s="44">
        <f>IFERROR('Data Sheet'!J17,0)</f>
        <v>139078.26999999999</v>
      </c>
      <c r="L6" s="44">
        <f>IFERROR('Data Sheet'!K17,0)</f>
        <v>159210.82</v>
      </c>
      <c r="M6" s="44">
        <f>IFERROR(SUM('Data Sheet'!B42:K42),0)</f>
        <v>408132.07</v>
      </c>
      <c r="N6" s="38"/>
    </row>
    <row r="7" spans="1:14" ht="15" thickTop="1" x14ac:dyDescent="0.35">
      <c r="B7" s="25" t="s">
        <v>85</v>
      </c>
      <c r="C7" s="28" t="s">
        <v>86</v>
      </c>
      <c r="D7" s="26">
        <f>D6/C6-1</f>
        <v>0.10458177075271013</v>
      </c>
      <c r="E7" s="26">
        <f t="shared" ref="E7:L7" si="0">E6/D6-1</f>
        <v>9.9326692772914393E-2</v>
      </c>
      <c r="F7" s="26">
        <f t="shared" si="0"/>
        <v>0.13710705209191265</v>
      </c>
      <c r="G7" s="26">
        <f t="shared" si="0"/>
        <v>-0.28016195082002904</v>
      </c>
      <c r="H7" s="26">
        <f t="shared" si="0"/>
        <v>-1.4647409531700739E-2</v>
      </c>
      <c r="I7" s="26">
        <f t="shared" si="0"/>
        <v>0.21396425687466714</v>
      </c>
      <c r="J7" s="26">
        <f t="shared" si="0"/>
        <v>0.3448794878417647</v>
      </c>
      <c r="K7" s="26">
        <f t="shared" si="0"/>
        <v>0.14686182031532491</v>
      </c>
      <c r="L7" s="26">
        <f t="shared" si="0"/>
        <v>0.14475697749188288</v>
      </c>
      <c r="M7" s="26">
        <f>M6/L6-1</f>
        <v>1.5634694300299441</v>
      </c>
    </row>
    <row r="8" spans="1:14" x14ac:dyDescent="0.35">
      <c r="C8" s="24"/>
    </row>
    <row r="9" spans="1:14" x14ac:dyDescent="0.35">
      <c r="B9" s="29" t="s">
        <v>87</v>
      </c>
      <c r="C9" s="43">
        <f>IFERROR(SUM('Data Sheet'!B18,'Data Sheet'!B20:B22)-1*'Data Sheet'!B19,0)</f>
        <v>56073.909999999996</v>
      </c>
      <c r="D9" s="43">
        <f>IFERROR(SUM('Data Sheet'!C18,'Data Sheet'!C20:C22)-1*'Data Sheet'!C19,0)</f>
        <v>63464.359999999993</v>
      </c>
      <c r="E9" s="43">
        <f>IFERROR(SUM('Data Sheet'!D18,'Data Sheet'!D20:D22)-1*'Data Sheet'!D19,0)</f>
        <v>67869.400000000009</v>
      </c>
      <c r="F9" s="43">
        <f>IFERROR(SUM('Data Sheet'!E18,'Data Sheet'!E20:E22)-1*'Data Sheet'!E19,0)</f>
        <v>76462.900000000009</v>
      </c>
      <c r="G9" s="43">
        <f>IFERROR(SUM('Data Sheet'!F18,'Data Sheet'!F20:F22)-1*'Data Sheet'!F19,0)</f>
        <v>50445.450000000004</v>
      </c>
      <c r="H9" s="43">
        <f>IFERROR(SUM('Data Sheet'!G18,'Data Sheet'!G20:G22)-1*'Data Sheet'!G19,0)</f>
        <v>49173.009999999995</v>
      </c>
      <c r="I9" s="43">
        <f>IFERROR(SUM('Data Sheet'!H18,'Data Sheet'!H20:H22)-1*'Data Sheet'!H19,0)</f>
        <v>63855.469999999987</v>
      </c>
      <c r="J9" s="43">
        <f>IFERROR(SUM('Data Sheet'!I18,'Data Sheet'!I20:I22)-1*'Data Sheet'!I19,0)</f>
        <v>88334.409999999989</v>
      </c>
      <c r="K9" s="43">
        <f>IFERROR(SUM('Data Sheet'!J18,'Data Sheet'!J20:J22)-1*'Data Sheet'!J19,0)</f>
        <v>98783.56</v>
      </c>
      <c r="L9" s="43">
        <f>IFERROR(SUM('Data Sheet'!K18,'Data Sheet'!K20:K22)-1*'Data Sheet'!K19,0)</f>
        <v>111863.52</v>
      </c>
      <c r="M9" s="43">
        <f>IFERROR(SUM('Data Sheet'!H43:K43),0)</f>
        <v>151094.89000000001</v>
      </c>
      <c r="N9" t="str">
        <f ca="1">_xlfn.FORMULATEXT(L9)</f>
        <v>=IFERROR(SUM('Data Sheet'!K18,'Data Sheet'!K20:K22)-1*'Data Sheet'!K19,0)</v>
      </c>
    </row>
    <row r="10" spans="1:14" x14ac:dyDescent="0.35">
      <c r="B10" t="s">
        <v>88</v>
      </c>
      <c r="C10" s="5">
        <f>C9/C6</f>
        <v>0.73935733270816917</v>
      </c>
      <c r="D10" s="5">
        <f t="shared" ref="D10:L10" si="1">D9/D6</f>
        <v>0.75757490028117624</v>
      </c>
      <c r="E10" s="5">
        <f t="shared" si="1"/>
        <v>0.73695829096265297</v>
      </c>
      <c r="F10" s="5">
        <f t="shared" si="1"/>
        <v>0.73016046114291866</v>
      </c>
      <c r="G10" s="5">
        <f t="shared" si="1"/>
        <v>0.66919817521254776</v>
      </c>
      <c r="H10" s="5">
        <f t="shared" si="1"/>
        <v>0.66201507368690871</v>
      </c>
      <c r="I10" s="5">
        <f t="shared" si="1"/>
        <v>0.70816309578613046</v>
      </c>
      <c r="J10" s="5">
        <f t="shared" si="1"/>
        <v>0.72841977577863337</v>
      </c>
      <c r="K10" s="5">
        <f t="shared" si="1"/>
        <v>0.71027314331706892</v>
      </c>
      <c r="L10" s="5">
        <f t="shared" si="1"/>
        <v>0.70261254856924926</v>
      </c>
      <c r="M10" s="5">
        <f>M9/M6</f>
        <v>0.3702107751542289</v>
      </c>
    </row>
    <row r="12" spans="1:14" x14ac:dyDescent="0.35">
      <c r="B12" s="35" t="s">
        <v>89</v>
      </c>
      <c r="C12" s="36">
        <f>C6-C9</f>
        <v>19767.510000000002</v>
      </c>
      <c r="D12" s="36">
        <f t="shared" ref="D12:M12" si="2">D6-D9</f>
        <v>20308.69000000001</v>
      </c>
      <c r="E12" s="36">
        <f t="shared" si="2"/>
        <v>24224.549999999988</v>
      </c>
      <c r="F12" s="36">
        <f t="shared" si="2"/>
        <v>28257.779999999984</v>
      </c>
      <c r="G12" s="36">
        <f t="shared" si="2"/>
        <v>24936.479999999989</v>
      </c>
      <c r="H12" s="36">
        <f t="shared" si="2"/>
        <v>25104.770000000004</v>
      </c>
      <c r="I12" s="36">
        <f t="shared" si="2"/>
        <v>26315.10000000002</v>
      </c>
      <c r="J12" s="36">
        <f t="shared" si="2"/>
        <v>32934.140000000014</v>
      </c>
      <c r="K12" s="36">
        <f t="shared" si="2"/>
        <v>40294.709999999992</v>
      </c>
      <c r="L12" s="36">
        <f t="shared" si="2"/>
        <v>47347.3</v>
      </c>
      <c r="M12" s="36">
        <f t="shared" si="2"/>
        <v>257037.18</v>
      </c>
      <c r="N12" s="35"/>
    </row>
    <row r="14" spans="1:14" x14ac:dyDescent="0.35">
      <c r="B14" t="s">
        <v>90</v>
      </c>
      <c r="C14" s="39">
        <f>IFERROR(SUM('Data Sheet'!B23:B24),0)</f>
        <v>9685.07</v>
      </c>
      <c r="D14" s="39">
        <f>IFERROR(SUM('Data Sheet'!C23:C24),0)</f>
        <v>9573.86</v>
      </c>
      <c r="E14" s="39">
        <f>IFERROR(SUM('Data Sheet'!D23:D24),0)</f>
        <v>10998.45</v>
      </c>
      <c r="F14" s="39">
        <f>IFERROR(SUM('Data Sheet'!E23:E24),0)</f>
        <v>13051.27</v>
      </c>
      <c r="G14" s="39">
        <f>IFERROR(SUM('Data Sheet'!F23:F24),0)</f>
        <v>14778.73</v>
      </c>
      <c r="H14" s="39">
        <f>IFERROR(SUM('Data Sheet'!G23:G24),0)</f>
        <v>13617.75</v>
      </c>
      <c r="I14" s="39">
        <f>IFERROR(SUM('Data Sheet'!H23:H24),0)</f>
        <v>11632.25</v>
      </c>
      <c r="J14" s="39">
        <f>IFERROR(SUM('Data Sheet'!I23:I24),0)</f>
        <v>12648.849999999999</v>
      </c>
      <c r="K14" s="39">
        <f>IFERROR(SUM('Data Sheet'!J23:J24),0)</f>
        <v>15402.78</v>
      </c>
      <c r="L14" s="39">
        <f>IFERROR(SUM('Data Sheet'!K23:K24),0)</f>
        <v>16829.11</v>
      </c>
      <c r="M14" s="39">
        <f>IFERROR('Data Sheet'!M23,0)</f>
        <v>56512.99</v>
      </c>
    </row>
    <row r="15" spans="1:14" x14ac:dyDescent="0.35">
      <c r="B15" s="29" t="s">
        <v>91</v>
      </c>
      <c r="C15" s="30">
        <f>C14/C6</f>
        <v>0.12770159103033671</v>
      </c>
      <c r="D15" s="30">
        <f t="shared" ref="D15:L15" si="3">D14/D6</f>
        <v>0.11428329277733114</v>
      </c>
      <c r="E15" s="30">
        <f t="shared" si="3"/>
        <v>0.11942641183269911</v>
      </c>
      <c r="F15" s="30">
        <f t="shared" si="3"/>
        <v>0.12462934732662165</v>
      </c>
      <c r="G15" s="30">
        <f t="shared" si="3"/>
        <v>0.19605136138063858</v>
      </c>
      <c r="H15" s="30">
        <f t="shared" si="3"/>
        <v>0.18333544702062987</v>
      </c>
      <c r="I15" s="30">
        <f t="shared" si="3"/>
        <v>0.12900273337520213</v>
      </c>
      <c r="J15" s="30">
        <f t="shared" si="3"/>
        <v>0.10430445486484334</v>
      </c>
      <c r="K15" s="30">
        <f t="shared" si="3"/>
        <v>0.11074900485891867</v>
      </c>
      <c r="L15" s="30">
        <f t="shared" si="3"/>
        <v>0.10570330584315815</v>
      </c>
      <c r="M15" s="30">
        <f>M14/M6</f>
        <v>0.13846740835631954</v>
      </c>
    </row>
    <row r="16" spans="1:14" ht="15" thickBot="1" x14ac:dyDescent="0.4"/>
    <row r="17" spans="2:14" ht="15" thickBot="1" x14ac:dyDescent="0.4">
      <c r="B17" s="33" t="s">
        <v>92</v>
      </c>
      <c r="C17" s="34">
        <f>C12-C14</f>
        <v>10082.440000000002</v>
      </c>
      <c r="D17" s="34">
        <f t="shared" ref="D17:L17" si="4">D12-D14</f>
        <v>10734.830000000009</v>
      </c>
      <c r="E17" s="34">
        <f t="shared" si="4"/>
        <v>13226.099999999988</v>
      </c>
      <c r="F17" s="34">
        <f t="shared" si="4"/>
        <v>15206.509999999984</v>
      </c>
      <c r="G17" s="34">
        <f t="shared" si="4"/>
        <v>10157.749999999989</v>
      </c>
      <c r="H17" s="34">
        <f t="shared" si="4"/>
        <v>11487.020000000004</v>
      </c>
      <c r="I17" s="34">
        <f t="shared" si="4"/>
        <v>14682.85000000002</v>
      </c>
      <c r="J17" s="34">
        <f t="shared" si="4"/>
        <v>20285.290000000015</v>
      </c>
      <c r="K17" s="34">
        <f t="shared" si="4"/>
        <v>24891.929999999993</v>
      </c>
      <c r="L17" s="34">
        <f t="shared" si="4"/>
        <v>30518.190000000002</v>
      </c>
      <c r="M17" s="34"/>
      <c r="N17" s="33"/>
    </row>
    <row r="18" spans="2:14" x14ac:dyDescent="0.35">
      <c r="B18" s="29" t="s">
        <v>93</v>
      </c>
      <c r="C18" s="30">
        <f>C17/C6</f>
        <v>0.1329410762614941</v>
      </c>
      <c r="D18" s="30">
        <f>D17/D6</f>
        <v>0.12814180694149263</v>
      </c>
      <c r="E18" s="30">
        <f>E17/E6</f>
        <v>0.14361529720464794</v>
      </c>
      <c r="F18" s="30">
        <f>F17/F6</f>
        <v>0.14521019153045975</v>
      </c>
      <c r="G18" s="30">
        <f>G17/G6</f>
        <v>0.13475046340681368</v>
      </c>
      <c r="H18" s="30">
        <f>H17/H6</f>
        <v>0.15464947929246142</v>
      </c>
      <c r="I18" s="30">
        <f>I17/I6</f>
        <v>0.16283417083866741</v>
      </c>
      <c r="J18" s="30">
        <f>J17/J6</f>
        <v>0.1672757693565233</v>
      </c>
      <c r="K18" s="30">
        <f>K17/K6</f>
        <v>0.17897785182401243</v>
      </c>
      <c r="L18" s="30">
        <f>L17/L6</f>
        <v>0.19168414558759261</v>
      </c>
      <c r="M18" s="30">
        <f>M17/M6</f>
        <v>0</v>
      </c>
    </row>
    <row r="20" spans="2:14" x14ac:dyDescent="0.35">
      <c r="B20" t="s">
        <v>94</v>
      </c>
      <c r="C20" s="41">
        <f>IFERROR('Data Sheet'!B27,0)</f>
        <v>3367.59</v>
      </c>
      <c r="D20" s="41">
        <f>IFERROR('Data Sheet'!C27,0)</f>
        <v>3648.46</v>
      </c>
      <c r="E20" s="41">
        <f>IFERROR('Data Sheet'!D27,0)</f>
        <v>3987.09</v>
      </c>
      <c r="F20" s="41">
        <f>IFERROR('Data Sheet'!E27,0)</f>
        <v>5021.3500000000004</v>
      </c>
      <c r="G20" s="41">
        <f>IFERROR('Data Sheet'!F27,0)</f>
        <v>6021.15</v>
      </c>
      <c r="H20" s="41">
        <f>IFERROR('Data Sheet'!G27,0)</f>
        <v>6102.22</v>
      </c>
      <c r="I20" s="41">
        <f>IFERROR('Data Sheet'!H27,0)</f>
        <v>5018.05</v>
      </c>
      <c r="J20" s="41">
        <f>IFERROR('Data Sheet'!I27,0)</f>
        <v>5829.7</v>
      </c>
      <c r="K20" s="41">
        <f>IFERROR('Data Sheet'!J27,0)</f>
        <v>7488.21</v>
      </c>
      <c r="L20" s="41">
        <f>IFERROR('Data Sheet'!K27,0)</f>
        <v>9083.39</v>
      </c>
      <c r="M20" s="41">
        <f>IFERROR(SUM('Data Sheet'!H27:K27),0)</f>
        <v>27419.35</v>
      </c>
    </row>
    <row r="21" spans="2:14" x14ac:dyDescent="0.35">
      <c r="B21" s="29" t="s">
        <v>95</v>
      </c>
      <c r="C21" s="30">
        <f>C20/C6</f>
        <v>4.4403045196147441E-2</v>
      </c>
      <c r="D21" s="30">
        <f t="shared" ref="D21:M21" si="5">D20/D6</f>
        <v>4.3551715020522706E-2</v>
      </c>
      <c r="E21" s="30">
        <f t="shared" si="5"/>
        <v>4.3293723420485278E-2</v>
      </c>
      <c r="F21" s="30">
        <f t="shared" si="5"/>
        <v>4.7949936917903904E-2</v>
      </c>
      <c r="G21" s="30">
        <f t="shared" si="5"/>
        <v>7.9875243310963254E-2</v>
      </c>
      <c r="H21" s="30">
        <f t="shared" si="5"/>
        <v>8.2154043914613506E-2</v>
      </c>
      <c r="I21" s="30">
        <f t="shared" si="5"/>
        <v>5.5650640780023901E-2</v>
      </c>
      <c r="J21" s="30">
        <f t="shared" si="5"/>
        <v>4.8072645380851008E-2</v>
      </c>
      <c r="K21" s="30">
        <f t="shared" si="5"/>
        <v>5.3841696477817856E-2</v>
      </c>
      <c r="L21" s="30">
        <f t="shared" si="5"/>
        <v>5.7052592279846298E-2</v>
      </c>
      <c r="M21" s="30">
        <f t="shared" si="5"/>
        <v>6.7182542160923536E-2</v>
      </c>
    </row>
    <row r="23" spans="2:14" x14ac:dyDescent="0.35">
      <c r="B23" t="s">
        <v>10</v>
      </c>
      <c r="C23" s="41">
        <f>IFERROR('Data Sheet'!B26,0)</f>
        <v>2441.65</v>
      </c>
      <c r="D23" s="41">
        <f>IFERROR('Data Sheet'!C26,0)</f>
        <v>2812.72</v>
      </c>
      <c r="E23" s="41">
        <f>IFERROR('Data Sheet'!D26,0)</f>
        <v>3279.9</v>
      </c>
      <c r="F23" s="41">
        <f>IFERROR('Data Sheet'!E26,0)</f>
        <v>3990.77</v>
      </c>
      <c r="G23" s="41">
        <f>IFERROR('Data Sheet'!F26,0)</f>
        <v>3366.68</v>
      </c>
      <c r="H23" s="41">
        <f>IFERROR('Data Sheet'!G26,0)</f>
        <v>3378.11</v>
      </c>
      <c r="I23" s="41">
        <f>IFERROR('Data Sheet'!H26,0)</f>
        <v>3507.5</v>
      </c>
      <c r="J23" s="41">
        <f>IFERROR('Data Sheet'!I26,0)</f>
        <v>4356.8100000000004</v>
      </c>
      <c r="K23" s="41">
        <f>IFERROR('Data Sheet'!J26,0)</f>
        <v>4723.78</v>
      </c>
      <c r="L23" s="41">
        <f>IFERROR('Data Sheet'!K26,0)</f>
        <v>6073.65</v>
      </c>
      <c r="M23" s="41">
        <f>IFERROR(SUM('Data Sheet'!H26:K26),0)</f>
        <v>18661.739999999998</v>
      </c>
    </row>
    <row r="24" spans="2:14" x14ac:dyDescent="0.35">
      <c r="B24" s="29" t="s">
        <v>96</v>
      </c>
      <c r="C24" s="30">
        <f>C23/C6</f>
        <v>3.2194149318406751E-2</v>
      </c>
      <c r="D24" s="30">
        <f t="shared" ref="D24:M24" si="6">D23/D6</f>
        <v>3.3575475645210476E-2</v>
      </c>
      <c r="E24" s="30">
        <f t="shared" si="6"/>
        <v>3.5614717361998269E-2</v>
      </c>
      <c r="F24" s="30">
        <f t="shared" si="6"/>
        <v>3.8108709760097052E-2</v>
      </c>
      <c r="G24" s="30">
        <f t="shared" si="6"/>
        <v>4.4661631773025713E-2</v>
      </c>
      <c r="H24" s="30">
        <f t="shared" si="6"/>
        <v>4.5479415243697377E-2</v>
      </c>
      <c r="I24" s="30">
        <f t="shared" si="6"/>
        <v>3.8898500918869643E-2</v>
      </c>
      <c r="J24" s="30">
        <f t="shared" si="6"/>
        <v>3.5926957154183835E-2</v>
      </c>
      <c r="K24" s="30">
        <f t="shared" si="6"/>
        <v>3.3964903359813149E-2</v>
      </c>
      <c r="L24" s="30">
        <f t="shared" si="6"/>
        <v>3.8148475084796366E-2</v>
      </c>
      <c r="M24" s="30">
        <f t="shared" si="6"/>
        <v>4.572475767464193E-2</v>
      </c>
    </row>
    <row r="25" spans="2:14" x14ac:dyDescent="0.35"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2:14" x14ac:dyDescent="0.35">
      <c r="B26" s="21" t="s">
        <v>100</v>
      </c>
      <c r="C26" s="42">
        <f>IFERROR(C17-SUM(C20,C23),0)</f>
        <v>4273.2000000000025</v>
      </c>
      <c r="D26" s="42">
        <f t="shared" ref="D26:L26" si="7">IFERROR(D17-SUM(D20,D23),0)</f>
        <v>4273.6500000000087</v>
      </c>
      <c r="E26" s="42">
        <f t="shared" si="7"/>
        <v>5959.1099999999878</v>
      </c>
      <c r="F26" s="42">
        <f t="shared" si="7"/>
        <v>6194.389999999983</v>
      </c>
      <c r="G26" s="42">
        <f t="shared" si="7"/>
        <v>769.91999999998916</v>
      </c>
      <c r="H26" s="42">
        <f t="shared" si="7"/>
        <v>2006.6900000000041</v>
      </c>
      <c r="I26" s="42">
        <f t="shared" si="7"/>
        <v>6157.3000000000211</v>
      </c>
      <c r="J26" s="42">
        <f t="shared" si="7"/>
        <v>10098.780000000015</v>
      </c>
      <c r="K26" s="42">
        <f t="shared" si="7"/>
        <v>12679.939999999993</v>
      </c>
      <c r="L26" s="42">
        <f t="shared" si="7"/>
        <v>15361.150000000003</v>
      </c>
      <c r="M26" s="37"/>
      <c r="N26" s="21" t="str">
        <f ca="1">_xlfn.FORMULATEXT(L26)</f>
        <v>=IFERROR(L17-SUM(L20,L23),0)</v>
      </c>
    </row>
    <row r="27" spans="2:14" x14ac:dyDescent="0.35">
      <c r="B27" s="29" t="s">
        <v>101</v>
      </c>
      <c r="C27" s="30">
        <f>C26/C6</f>
        <v>5.6343881746939897E-2</v>
      </c>
      <c r="D27" s="30">
        <f t="shared" ref="D27:M27" si="8">D26/D6</f>
        <v>5.1014616275759428E-2</v>
      </c>
      <c r="E27" s="30">
        <f t="shared" si="8"/>
        <v>6.4706856422164408E-2</v>
      </c>
      <c r="F27" s="30">
        <f t="shared" si="8"/>
        <v>5.9151544852458784E-2</v>
      </c>
      <c r="G27" s="30">
        <f t="shared" si="8"/>
        <v>1.0213588322824704E-2</v>
      </c>
      <c r="H27" s="30">
        <f t="shared" si="8"/>
        <v>2.701602013415054E-2</v>
      </c>
      <c r="I27" s="30">
        <f t="shared" si="8"/>
        <v>6.8285029139773884E-2</v>
      </c>
      <c r="J27" s="30">
        <f t="shared" si="8"/>
        <v>8.3276166821488459E-2</v>
      </c>
      <c r="K27" s="30">
        <f t="shared" si="8"/>
        <v>9.1171251986381444E-2</v>
      </c>
      <c r="L27" s="30">
        <f t="shared" si="8"/>
        <v>9.6483078222949936E-2</v>
      </c>
      <c r="M27" s="30">
        <f t="shared" si="8"/>
        <v>0</v>
      </c>
    </row>
    <row r="29" spans="2:14" x14ac:dyDescent="0.35">
      <c r="B29" t="s">
        <v>99</v>
      </c>
      <c r="C29" s="41">
        <f>IFERROR('Data Sheet'!B29,0)</f>
        <v>2117.5300000000002</v>
      </c>
      <c r="D29" s="41">
        <f>IFERROR('Data Sheet'!C29,0)</f>
        <v>2299.73</v>
      </c>
      <c r="E29" s="41">
        <f>IFERROR('Data Sheet'!D29,0)</f>
        <v>2367.73</v>
      </c>
      <c r="F29" s="41">
        <f>IFERROR('Data Sheet'!E29,0)</f>
        <v>2853.99</v>
      </c>
      <c r="G29" s="41">
        <f>IFERROR('Data Sheet'!F29,0)</f>
        <v>1975.61</v>
      </c>
      <c r="H29" s="41">
        <f>IFERROR('Data Sheet'!G29,0)</f>
        <v>1645.81</v>
      </c>
      <c r="I29" s="41">
        <f>IFERROR('Data Sheet'!H29,0)</f>
        <v>2108.7600000000002</v>
      </c>
      <c r="J29" s="41">
        <f>IFERROR('Data Sheet'!I29,0)</f>
        <v>2685.75</v>
      </c>
      <c r="K29" s="41">
        <f>IFERROR('Data Sheet'!J29,0)</f>
        <v>3707.97</v>
      </c>
      <c r="L29" s="41">
        <f>IFERROR('Data Sheet'!K29,0)</f>
        <v>5006.45</v>
      </c>
      <c r="M29" s="41">
        <f>IFERROR(SUM('Data Sheet'!H29:K29),0)</f>
        <v>13508.93</v>
      </c>
    </row>
    <row r="30" spans="2:14" x14ac:dyDescent="0.35">
      <c r="B30" s="29" t="s">
        <v>97</v>
      </c>
      <c r="C30" s="30">
        <f>C29/C6</f>
        <v>2.792049515950519E-2</v>
      </c>
      <c r="D30" s="30">
        <f t="shared" ref="D30:M30" si="9">D29/D6</f>
        <v>2.7451907266119593E-2</v>
      </c>
      <c r="E30" s="30">
        <f t="shared" si="9"/>
        <v>2.570994077243945E-2</v>
      </c>
      <c r="F30" s="30">
        <f t="shared" si="9"/>
        <v>2.7253356261628552E-2</v>
      </c>
      <c r="G30" s="30">
        <f t="shared" si="9"/>
        <v>2.6208005021893178E-2</v>
      </c>
      <c r="H30" s="30">
        <f t="shared" si="9"/>
        <v>2.2157501206955834E-2</v>
      </c>
      <c r="I30" s="30">
        <f t="shared" si="9"/>
        <v>2.3386344347163381E-2</v>
      </c>
      <c r="J30" s="30">
        <f t="shared" si="9"/>
        <v>2.2147127181779611E-2</v>
      </c>
      <c r="K30" s="30">
        <f t="shared" si="9"/>
        <v>2.6661030511811804E-2</v>
      </c>
      <c r="L30" s="30">
        <f t="shared" si="9"/>
        <v>3.1445413069287623E-2</v>
      </c>
      <c r="M30" s="30">
        <f t="shared" si="9"/>
        <v>3.3099408238122525E-2</v>
      </c>
    </row>
    <row r="32" spans="2:14" x14ac:dyDescent="0.35">
      <c r="B32" t="s">
        <v>98</v>
      </c>
      <c r="C32" s="41">
        <f>C26-C29</f>
        <v>2155.6700000000023</v>
      </c>
      <c r="D32" s="41">
        <f t="shared" ref="D32:L32" si="10">D26-D29</f>
        <v>1973.9200000000087</v>
      </c>
      <c r="E32" s="41">
        <f t="shared" si="10"/>
        <v>3591.3799999999878</v>
      </c>
      <c r="F32" s="41">
        <f t="shared" si="10"/>
        <v>3340.3999999999833</v>
      </c>
      <c r="G32" s="41">
        <f t="shared" si="10"/>
        <v>-1205.6900000000107</v>
      </c>
      <c r="H32" s="41">
        <f t="shared" si="10"/>
        <v>360.8800000000042</v>
      </c>
      <c r="I32" s="41">
        <f t="shared" si="10"/>
        <v>4048.5400000000209</v>
      </c>
      <c r="J32" s="41">
        <f t="shared" si="10"/>
        <v>7413.0300000000152</v>
      </c>
      <c r="K32" s="41">
        <f t="shared" si="10"/>
        <v>8971.9699999999939</v>
      </c>
      <c r="L32" s="41">
        <f t="shared" si="10"/>
        <v>10354.700000000004</v>
      </c>
    </row>
    <row r="33" spans="1:15" x14ac:dyDescent="0.35">
      <c r="B33" s="29" t="s">
        <v>102</v>
      </c>
      <c r="C33" s="30">
        <f>C32/C6</f>
        <v>2.8423386587434707E-2</v>
      </c>
      <c r="D33" s="30">
        <f t="shared" ref="D33:L33" si="11">D32/D6</f>
        <v>2.3562709009639839E-2</v>
      </c>
      <c r="E33" s="30">
        <f t="shared" si="11"/>
        <v>3.8996915649724961E-2</v>
      </c>
      <c r="F33" s="30">
        <f t="shared" si="11"/>
        <v>3.1898188590830233E-2</v>
      </c>
      <c r="G33" s="30">
        <f t="shared" si="11"/>
        <v>-1.5994416699068474E-2</v>
      </c>
      <c r="H33" s="30">
        <f t="shared" si="11"/>
        <v>4.8585189271947039E-3</v>
      </c>
      <c r="I33" s="30">
        <f t="shared" si="11"/>
        <v>4.4898684792610499E-2</v>
      </c>
      <c r="J33" s="30">
        <f t="shared" si="11"/>
        <v>6.1129039639708851E-2</v>
      </c>
      <c r="K33" s="30">
        <f t="shared" si="11"/>
        <v>6.451022147456964E-2</v>
      </c>
      <c r="L33" s="30">
        <f t="shared" si="11"/>
        <v>6.5037665153662313E-2</v>
      </c>
      <c r="M33" s="30"/>
    </row>
    <row r="35" spans="1:15" x14ac:dyDescent="0.35">
      <c r="B35" t="s">
        <v>103</v>
      </c>
      <c r="C35" s="45">
        <f>IFERROR('Data Sheet'!B93,0)</f>
        <v>124.22</v>
      </c>
      <c r="D35" s="45">
        <f>IFERROR('Data Sheet'!C93,0)</f>
        <v>124.22</v>
      </c>
      <c r="E35" s="45">
        <f>IFERROR('Data Sheet'!D93,0)</f>
        <v>124.32</v>
      </c>
      <c r="F35" s="45">
        <f>IFERROR('Data Sheet'!E93,0)</f>
        <v>124.32</v>
      </c>
      <c r="G35" s="45">
        <f>IFERROR('Data Sheet'!F93,0)</f>
        <v>124.32</v>
      </c>
      <c r="H35" s="45">
        <f>IFERROR('Data Sheet'!G93,0)</f>
        <v>124.32</v>
      </c>
      <c r="I35" s="45">
        <f>IFERROR('Data Sheet'!H93,0)</f>
        <v>124.32</v>
      </c>
      <c r="J35" s="45">
        <f>IFERROR('Data Sheet'!I93,0)</f>
        <v>124.35</v>
      </c>
      <c r="K35" s="45">
        <f>IFERROR('Data Sheet'!J93,0)</f>
        <v>124.35</v>
      </c>
      <c r="L35" s="45">
        <f>IFERROR('Data Sheet'!K93,0)</f>
        <v>124.35</v>
      </c>
      <c r="M35" s="45">
        <f>IFERROR('Data Sheet'!L93,0)</f>
        <v>0</v>
      </c>
    </row>
    <row r="36" spans="1:15" x14ac:dyDescent="0.3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5" x14ac:dyDescent="0.35">
      <c r="B37" t="s">
        <v>104</v>
      </c>
      <c r="C37" s="40">
        <f>IFERROR(C32/C35,0)</f>
        <v>17.353646755755936</v>
      </c>
      <c r="D37" s="40">
        <f t="shared" ref="D37:M37" si="12">IFERROR(D32/D35,0)</f>
        <v>15.890516824987994</v>
      </c>
      <c r="E37" s="40">
        <f t="shared" si="12"/>
        <v>28.888191763191667</v>
      </c>
      <c r="F37" s="40">
        <f t="shared" si="12"/>
        <v>26.869369369369235</v>
      </c>
      <c r="G37" s="40">
        <f t="shared" si="12"/>
        <v>-9.6982786357787223</v>
      </c>
      <c r="H37" s="40">
        <f t="shared" si="12"/>
        <v>2.9028314028314366</v>
      </c>
      <c r="I37" s="40">
        <f t="shared" si="12"/>
        <v>32.56547619047636</v>
      </c>
      <c r="J37" s="40">
        <f t="shared" si="12"/>
        <v>59.614234016887941</v>
      </c>
      <c r="K37" s="40">
        <f t="shared" si="12"/>
        <v>72.150944913550418</v>
      </c>
      <c r="L37" s="40">
        <f t="shared" si="12"/>
        <v>83.270607157217569</v>
      </c>
      <c r="M37" s="40">
        <f t="shared" si="12"/>
        <v>0</v>
      </c>
    </row>
    <row r="38" spans="1:15" x14ac:dyDescent="0.35">
      <c r="B38" t="s">
        <v>106</v>
      </c>
      <c r="C38" s="40"/>
      <c r="D38" s="40">
        <f>D37/C37-1</f>
        <v>-8.4312533922164978E-2</v>
      </c>
      <c r="E38" s="40">
        <f t="shared" ref="E38:L38" si="13">E37/D37-1</f>
        <v>0.81795168032324161</v>
      </c>
      <c r="F38" s="40">
        <f t="shared" si="13"/>
        <v>-6.9884000022277126E-2</v>
      </c>
      <c r="G38" s="40">
        <f t="shared" si="13"/>
        <v>-1.3609418033768461</v>
      </c>
      <c r="H38" s="40">
        <f t="shared" si="13"/>
        <v>-1.2993140857102581</v>
      </c>
      <c r="I38" s="40">
        <f t="shared" si="13"/>
        <v>10.218521392152445</v>
      </c>
      <c r="J38" s="40">
        <f t="shared" si="13"/>
        <v>0.83059610945661166</v>
      </c>
      <c r="K38" s="40">
        <f t="shared" si="13"/>
        <v>0.21029727385427766</v>
      </c>
      <c r="L38" s="40">
        <f t="shared" si="13"/>
        <v>0.1541166544248378</v>
      </c>
      <c r="M38" s="40"/>
    </row>
    <row r="40" spans="1:15" x14ac:dyDescent="0.35">
      <c r="B40" t="s">
        <v>105</v>
      </c>
      <c r="C40" s="41">
        <f>IFERROR('Data Sheet'!B31/'historical sf '!C35,0)</f>
        <v>5.2242795041056196</v>
      </c>
      <c r="D40" s="41">
        <f>IFERROR('Data Sheet'!C31/'historical sf '!D35,0)</f>
        <v>6.5</v>
      </c>
      <c r="E40" s="41">
        <f>IFERROR('Data Sheet'!D31/'historical sf '!E35,0)</f>
        <v>6.5532496782496787</v>
      </c>
      <c r="F40" s="41">
        <f>IFERROR('Data Sheet'!E31/'historical sf '!F35,0)</f>
        <v>7.4383043758043765</v>
      </c>
      <c r="G40" s="41">
        <f>IFERROR('Data Sheet'!F31/'historical sf '!G35,0)</f>
        <v>2.0954794079794081</v>
      </c>
      <c r="H40" s="41">
        <f>IFERROR('Data Sheet'!G31/'historical sf '!H35,0)</f>
        <v>7.8145913770913777</v>
      </c>
      <c r="I40" s="41">
        <f>IFERROR('Data Sheet'!H31/'historical sf '!I35,0)</f>
        <v>10.332207207207208</v>
      </c>
      <c r="J40" s="41">
        <f>IFERROR('Data Sheet'!I31/'historical sf '!J35,0)</f>
        <v>14.55295536791315</v>
      </c>
      <c r="K40" s="41">
        <f>IFERROR('Data Sheet'!J31/'historical sf '!K35,0)</f>
        <v>18.915480498592682</v>
      </c>
      <c r="L40" s="41">
        <f>IFERROR('Data Sheet'!K31/'historical sf '!L35,0)</f>
        <v>22.712022517088862</v>
      </c>
      <c r="M40" s="41">
        <f>IFERROR('Data Sheet'!L31/'historical sf '!M35,0)</f>
        <v>0</v>
      </c>
      <c r="N40" t="str">
        <f ca="1">_xlfn.FORMULATEXT(L40)</f>
        <v>=IFERROR('Data Sheet'!K31/'historical sf '!L35,0)</v>
      </c>
    </row>
    <row r="41" spans="1:15" x14ac:dyDescent="0.35">
      <c r="B41" s="29" t="s">
        <v>108</v>
      </c>
      <c r="C41" s="30">
        <f>C40/C37</f>
        <v>0.30104793405298558</v>
      </c>
      <c r="D41" s="30">
        <f t="shared" ref="D41:L41" si="14">D40/D37</f>
        <v>0.4090489989462574</v>
      </c>
      <c r="E41" s="30">
        <f t="shared" si="14"/>
        <v>0.22684873224220292</v>
      </c>
      <c r="F41" s="30">
        <f t="shared" si="14"/>
        <v>0.27683211591426315</v>
      </c>
      <c r="G41" s="30">
        <f t="shared" si="14"/>
        <v>-0.21606714827194196</v>
      </c>
      <c r="H41" s="30">
        <f t="shared" si="14"/>
        <v>2.6920583019285877</v>
      </c>
      <c r="I41" s="30">
        <f t="shared" si="14"/>
        <v>0.31727486945911204</v>
      </c>
      <c r="J41" s="30">
        <f t="shared" si="14"/>
        <v>0.24411880162362709</v>
      </c>
      <c r="K41" s="30">
        <f t="shared" si="14"/>
        <v>0.26216538842639925</v>
      </c>
      <c r="L41" s="30">
        <f t="shared" si="14"/>
        <v>0.27274957265782673</v>
      </c>
      <c r="M41" s="30"/>
    </row>
    <row r="43" spans="1:15" x14ac:dyDescent="0.35">
      <c r="B43" t="s">
        <v>107</v>
      </c>
      <c r="C43" s="46">
        <f>IFERROR(IF(C37&gt;C40,1-C41,0),0)</f>
        <v>0.69895206594701442</v>
      </c>
      <c r="D43" s="46">
        <f t="shared" ref="D43:M43" si="15">IFERROR(IF(D37&gt;D40,1-D41,0),0)</f>
        <v>0.59095100105374265</v>
      </c>
      <c r="E43" s="46">
        <f>IFERROR(IF(E37&gt;E40,1-E41,0),0)</f>
        <v>0.77315126775779708</v>
      </c>
      <c r="F43" s="46">
        <f>IFERROR(IF(F37&gt;F40,1-F41,0),0)</f>
        <v>0.72316788408573685</v>
      </c>
      <c r="G43" s="46">
        <f t="shared" si="15"/>
        <v>0</v>
      </c>
      <c r="H43" s="46">
        <f t="shared" si="15"/>
        <v>0</v>
      </c>
      <c r="I43" s="46">
        <f t="shared" si="15"/>
        <v>0.6827251305408879</v>
      </c>
      <c r="J43" s="46">
        <f t="shared" si="15"/>
        <v>0.75588119837637291</v>
      </c>
      <c r="K43" s="46">
        <f t="shared" si="15"/>
        <v>0.73783461157360075</v>
      </c>
      <c r="L43" s="46">
        <f t="shared" si="15"/>
        <v>0.72725042734217327</v>
      </c>
      <c r="M43" s="46">
        <f t="shared" si="15"/>
        <v>0</v>
      </c>
      <c r="N43" s="46" t="str">
        <f ca="1">_xlfn.FORMULATEXT(L43)</f>
        <v>=IFERROR(IF(L37&gt;L40,1-L41,0),0)</v>
      </c>
    </row>
    <row r="44" spans="1:15" x14ac:dyDescent="0.35"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1:15" x14ac:dyDescent="0.35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7" spans="1:15" x14ac:dyDescent="0.35">
      <c r="A47" t="s">
        <v>109</v>
      </c>
      <c r="B47" s="23" t="s">
        <v>110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O47" s="47"/>
    </row>
    <row r="49" spans="2:14" x14ac:dyDescent="0.35">
      <c r="B49" s="48" t="s">
        <v>24</v>
      </c>
      <c r="C49" s="41">
        <f>IFERROR('Data Sheet'!B57,0)</f>
        <v>270.39999999999998</v>
      </c>
      <c r="D49" s="41">
        <f>IFERROR('Data Sheet'!C57,0)</f>
        <v>310.55</v>
      </c>
      <c r="E49" s="41">
        <f>IFERROR('Data Sheet'!D57,0)</f>
        <v>543.13</v>
      </c>
      <c r="F49" s="41">
        <f>IFERROR('Data Sheet'!E57,0)</f>
        <v>543.96</v>
      </c>
      <c r="G49" s="41">
        <f>IFERROR('Data Sheet'!F57,0)</f>
        <v>554.28</v>
      </c>
      <c r="H49" s="41">
        <f>IFERROR('Data Sheet'!G57,0)</f>
        <v>555.15</v>
      </c>
      <c r="I49" s="41">
        <f>IFERROR('Data Sheet'!H57,0)</f>
        <v>556.05999999999995</v>
      </c>
      <c r="J49" s="41">
        <f>IFERROR('Data Sheet'!I57,0)</f>
        <v>556.82000000000005</v>
      </c>
      <c r="K49" s="41">
        <f>IFERROR('Data Sheet'!J57,0)</f>
        <v>557.38</v>
      </c>
      <c r="L49" s="41">
        <f>IFERROR('Data Sheet'!K57,0)</f>
        <v>558.15</v>
      </c>
    </row>
    <row r="50" spans="2:14" x14ac:dyDescent="0.35">
      <c r="B50" s="48" t="s">
        <v>25</v>
      </c>
      <c r="C50" s="41">
        <f>IFERROR('Data Sheet'!B58,0)</f>
        <v>26222.25</v>
      </c>
      <c r="D50" s="41">
        <f>IFERROR('Data Sheet'!C58,0)</f>
        <v>29467.1</v>
      </c>
      <c r="E50" s="41">
        <f>IFERROR('Data Sheet'!D58,0)</f>
        <v>36232.06</v>
      </c>
      <c r="F50" s="41">
        <f>IFERROR('Data Sheet'!E58,0)</f>
        <v>39439.449999999997</v>
      </c>
      <c r="G50" s="41">
        <f>IFERROR('Data Sheet'!F58,0)</f>
        <v>39415.03</v>
      </c>
      <c r="H50" s="41">
        <f>IFERROR('Data Sheet'!G58,0)</f>
        <v>41026.769999999997</v>
      </c>
      <c r="I50" s="41">
        <f>IFERROR('Data Sheet'!H58,0)</f>
        <v>46566.58</v>
      </c>
      <c r="J50" s="41">
        <f>IFERROR('Data Sheet'!I58,0)</f>
        <v>55808.97</v>
      </c>
      <c r="K50" s="41">
        <f>IFERROR('Data Sheet'!J58,0)</f>
        <v>65633.17</v>
      </c>
      <c r="L50" s="41">
        <f>IFERROR('Data Sheet'!K58,0)</f>
        <v>76480.710000000006</v>
      </c>
    </row>
    <row r="51" spans="2:14" x14ac:dyDescent="0.35">
      <c r="B51" s="48" t="s">
        <v>62</v>
      </c>
      <c r="C51" s="41">
        <f>IFERROR('Data Sheet'!B59,0)</f>
        <v>41552.93</v>
      </c>
      <c r="D51" s="41">
        <f>IFERROR('Data Sheet'!C59,0)</f>
        <v>48761.91</v>
      </c>
      <c r="E51" s="41">
        <f>IFERROR('Data Sheet'!D59,0)</f>
        <v>55897.919999999998</v>
      </c>
      <c r="F51" s="41">
        <f>IFERROR('Data Sheet'!E59,0)</f>
        <v>70848.3</v>
      </c>
      <c r="G51" s="41">
        <f>IFERROR('Data Sheet'!F59,0)</f>
        <v>82092.28</v>
      </c>
      <c r="H51" s="41">
        <f>IFERROR('Data Sheet'!G59,0)</f>
        <v>80624.83</v>
      </c>
      <c r="I51" s="41">
        <f>IFERROR('Data Sheet'!H59,0)</f>
        <v>77605.210000000006</v>
      </c>
      <c r="J51" s="41">
        <f>IFERROR('Data Sheet'!I59,0)</f>
        <v>92246.85</v>
      </c>
      <c r="K51" s="41">
        <f>IFERROR('Data Sheet'!J59,0)</f>
        <v>108647.25</v>
      </c>
      <c r="L51" s="41">
        <f>IFERROR('Data Sheet'!K59,0)</f>
        <v>129024.58</v>
      </c>
    </row>
    <row r="52" spans="2:14" x14ac:dyDescent="0.35">
      <c r="B52" s="48" t="s">
        <v>63</v>
      </c>
      <c r="C52" s="41">
        <f>IFERROR('Data Sheet'!B60,0)</f>
        <v>31806.240000000002</v>
      </c>
      <c r="D52" s="41">
        <f>IFERROR('Data Sheet'!C60,0)</f>
        <v>35295.919999999998</v>
      </c>
      <c r="E52" s="41">
        <f>IFERROR('Data Sheet'!D60,0)</f>
        <v>43696.2</v>
      </c>
      <c r="F52" s="41">
        <f>IFERROR('Data Sheet'!E60,0)</f>
        <v>51056.95</v>
      </c>
      <c r="G52" s="41">
        <f>IFERROR('Data Sheet'!F60,0)</f>
        <v>43654.54</v>
      </c>
      <c r="H52" s="41">
        <f>IFERROR('Data Sheet'!G60,0)</f>
        <v>42761.58</v>
      </c>
      <c r="I52" s="41">
        <f>IFERROR('Data Sheet'!H60,0)</f>
        <v>47660.639999999999</v>
      </c>
      <c r="J52" s="41">
        <f>IFERROR('Data Sheet'!I60,0)</f>
        <v>55670.49</v>
      </c>
      <c r="K52" s="41">
        <f>IFERROR('Data Sheet'!J60,0)</f>
        <v>59883.94</v>
      </c>
      <c r="L52" s="41">
        <f>IFERROR('Data Sheet'!K60,0)</f>
        <v>69949.72</v>
      </c>
    </row>
    <row r="53" spans="2:14" x14ac:dyDescent="0.35">
      <c r="B53" s="49" t="s">
        <v>111</v>
      </c>
      <c r="C53" s="54">
        <f>IFERROR('Data Sheet'!B61,0)</f>
        <v>99851.82</v>
      </c>
      <c r="D53" s="54">
        <f>IFERROR('Data Sheet'!C61,0)</f>
        <v>113835.48</v>
      </c>
      <c r="E53" s="54">
        <f>IFERROR('Data Sheet'!D61,0)</f>
        <v>136369.31</v>
      </c>
      <c r="F53" s="54">
        <f>IFERROR('Data Sheet'!E61,0)</f>
        <v>161888.66</v>
      </c>
      <c r="G53" s="54">
        <f>IFERROR('Data Sheet'!F61,0)</f>
        <v>165716.13</v>
      </c>
      <c r="H53" s="54">
        <f>IFERROR('Data Sheet'!G61,0)</f>
        <v>164968.32999999999</v>
      </c>
      <c r="I53" s="54">
        <f>IFERROR('Data Sheet'!H61,0)</f>
        <v>172388.49</v>
      </c>
      <c r="J53" s="54">
        <f>IFERROR('Data Sheet'!I61,0)</f>
        <v>204283.13</v>
      </c>
      <c r="K53" s="54">
        <f>IFERROR('Data Sheet'!J61,0)</f>
        <v>234721.74</v>
      </c>
      <c r="L53" s="54">
        <f>IFERROR('Data Sheet'!K61,0)</f>
        <v>276013.15999999997</v>
      </c>
      <c r="M53" s="2"/>
    </row>
    <row r="54" spans="2:14" x14ac:dyDescent="0.35">
      <c r="B54" s="49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2"/>
    </row>
    <row r="55" spans="2:14" x14ac:dyDescent="0.35">
      <c r="B55" s="51" t="s">
        <v>112</v>
      </c>
      <c r="C55" s="41">
        <f>IFERROR('Data Sheet'!B62,0)</f>
        <v>20584.71</v>
      </c>
      <c r="D55" s="41">
        <f>IFERROR('Data Sheet'!C62,0)</f>
        <v>20989.01</v>
      </c>
      <c r="E55" s="41">
        <f>IFERROR('Data Sheet'!D62,0)</f>
        <v>26181.9</v>
      </c>
      <c r="F55" s="41">
        <f>IFERROR('Data Sheet'!E62,0)</f>
        <v>28982.74</v>
      </c>
      <c r="G55" s="41">
        <f>IFERROR('Data Sheet'!F62,0)</f>
        <v>29689.27</v>
      </c>
      <c r="H55" s="41">
        <f>IFERROR('Data Sheet'!G62,0)</f>
        <v>21379.68</v>
      </c>
      <c r="I55" s="41">
        <f>IFERROR('Data Sheet'!H62,0)</f>
        <v>26018.49</v>
      </c>
      <c r="J55" s="41">
        <f>IFERROR('Data Sheet'!I62,0)</f>
        <v>27139.98</v>
      </c>
      <c r="K55" s="41">
        <f>IFERROR('Data Sheet'!J62,0)</f>
        <v>28129.41</v>
      </c>
      <c r="L55" s="41">
        <f>IFERROR('Data Sheet'!K62,0)</f>
        <v>34636.36</v>
      </c>
    </row>
    <row r="56" spans="2:14" x14ac:dyDescent="0.35">
      <c r="B56" s="48" t="s">
        <v>28</v>
      </c>
      <c r="C56" s="41">
        <f>IFERROR('Data Sheet'!B63,0)</f>
        <v>2371.35</v>
      </c>
      <c r="D56" s="41">
        <f>IFERROR('Data Sheet'!C63,0)</f>
        <v>4278.9399999999996</v>
      </c>
      <c r="E56" s="41">
        <f>IFERROR('Data Sheet'!D63,0)</f>
        <v>4269.47</v>
      </c>
      <c r="F56" s="41">
        <f>IFERROR('Data Sheet'!E63,0)</f>
        <v>4759.84</v>
      </c>
      <c r="G56" s="41">
        <f>IFERROR('Data Sheet'!F63,0)</f>
        <v>6856.48</v>
      </c>
      <c r="H56" s="41">
        <f>IFERROR('Data Sheet'!G63,0)</f>
        <v>7872.61</v>
      </c>
      <c r="I56" s="41">
        <f>IFERROR('Data Sheet'!H63,0)</f>
        <v>6702.81</v>
      </c>
      <c r="J56" s="41">
        <f>IFERROR('Data Sheet'!I63,0)</f>
        <v>3968.58</v>
      </c>
      <c r="K56" s="41">
        <f>IFERROR('Data Sheet'!J63,0)</f>
        <v>8039.3</v>
      </c>
      <c r="L56" s="41">
        <f>IFERROR('Data Sheet'!K63,0)</f>
        <v>8297.64</v>
      </c>
    </row>
    <row r="57" spans="2:14" x14ac:dyDescent="0.35">
      <c r="B57" s="48" t="s">
        <v>29</v>
      </c>
      <c r="C57" s="41">
        <f>IFERROR('Data Sheet'!B64,0)</f>
        <v>11602.58</v>
      </c>
      <c r="D57" s="41">
        <f>IFERROR('Data Sheet'!C64,0)</f>
        <v>14662.44</v>
      </c>
      <c r="E57" s="41">
        <f>IFERROR('Data Sheet'!D64,0)</f>
        <v>16017.61</v>
      </c>
      <c r="F57" s="41">
        <f>IFERROR('Data Sheet'!E64,0)</f>
        <v>18268.099999999999</v>
      </c>
      <c r="G57" s="41">
        <f>IFERROR('Data Sheet'!F64,0)</f>
        <v>19210.34</v>
      </c>
      <c r="H57" s="41">
        <f>IFERROR('Data Sheet'!G64,0)</f>
        <v>28777.66</v>
      </c>
      <c r="I57" s="41">
        <f>IFERROR('Data Sheet'!H64,0)</f>
        <v>30060.43</v>
      </c>
      <c r="J57" s="41">
        <f>IFERROR('Data Sheet'!I64,0)</f>
        <v>35272.42</v>
      </c>
      <c r="K57" s="41">
        <f>IFERROR('Data Sheet'!J64,0)</f>
        <v>35208.1</v>
      </c>
      <c r="L57" s="41">
        <f>IFERROR('Data Sheet'!K64,0)</f>
        <v>41308.57</v>
      </c>
    </row>
    <row r="58" spans="2:14" x14ac:dyDescent="0.35">
      <c r="B58" s="48" t="s">
        <v>64</v>
      </c>
      <c r="C58" s="41">
        <f>IFERROR('Data Sheet'!B65-SUM('Data Sheet'!B67:B69),0)</f>
        <v>45831.91</v>
      </c>
      <c r="D58" s="41">
        <f>IFERROR('Data Sheet'!C65-SUM('Data Sheet'!C67:C69),0)</f>
        <v>53165.789999999994</v>
      </c>
      <c r="E58" s="41">
        <f>IFERROR('Data Sheet'!D65-SUM('Data Sheet'!D67:D69),0)</f>
        <v>65527.340000000004</v>
      </c>
      <c r="F58" s="41">
        <f>IFERROR('Data Sheet'!E65-SUM('Data Sheet'!E67:E69),0)</f>
        <v>80265.01999999999</v>
      </c>
      <c r="G58" s="41">
        <f>IFERROR('Data Sheet'!F65-SUM('Data Sheet'!F67:F69),0)</f>
        <v>84009</v>
      </c>
      <c r="H58" s="41">
        <f>IFERROR('Data Sheet'!G65-SUM('Data Sheet'!G67:G69),0)</f>
        <v>78463.22</v>
      </c>
      <c r="I58" s="41">
        <f>IFERROR('Data Sheet'!H65-SUM('Data Sheet'!H67:H69),0)</f>
        <v>80519.37999999999</v>
      </c>
      <c r="J58" s="41">
        <f>IFERROR('Data Sheet'!I65-SUM('Data Sheet'!I67:I69),0)</f>
        <v>102745.73</v>
      </c>
      <c r="K58" s="41">
        <f>IFERROR('Data Sheet'!J65-SUM('Data Sheet'!J67:J69),0)</f>
        <v>125282.31</v>
      </c>
      <c r="L58" s="41">
        <f>IFERROR('Data Sheet'!K65-SUM('Data Sheet'!K67:K69),0)</f>
        <v>142545.12</v>
      </c>
      <c r="M58" s="56"/>
      <c r="N58" t="str">
        <f ca="1">_xlfn.FORMULATEXT(L58)</f>
        <v>=IFERROR('Data Sheet'!K65-SUM('Data Sheet'!K67:K69),0)</v>
      </c>
    </row>
    <row r="59" spans="2:14" x14ac:dyDescent="0.35">
      <c r="B59" s="52" t="s">
        <v>116</v>
      </c>
      <c r="C59" s="50">
        <f>SUM(C55:C58)</f>
        <v>80390.55</v>
      </c>
      <c r="D59" s="50">
        <f t="shared" ref="D59:L59" si="16">SUM(D55:D58)</f>
        <v>93096.18</v>
      </c>
      <c r="E59" s="50">
        <f t="shared" si="16"/>
        <v>111996.32</v>
      </c>
      <c r="F59" s="50">
        <f t="shared" si="16"/>
        <v>132275.69999999998</v>
      </c>
      <c r="G59" s="50">
        <f t="shared" si="16"/>
        <v>139765.09</v>
      </c>
      <c r="H59" s="50">
        <f t="shared" si="16"/>
        <v>136493.16999999998</v>
      </c>
      <c r="I59" s="50">
        <f t="shared" si="16"/>
        <v>143301.10999999999</v>
      </c>
      <c r="J59" s="50">
        <f t="shared" si="16"/>
        <v>169126.71</v>
      </c>
      <c r="K59" s="50">
        <f t="shared" si="16"/>
        <v>196659.12</v>
      </c>
      <c r="L59" s="50">
        <f t="shared" si="16"/>
        <v>226787.69</v>
      </c>
    </row>
    <row r="60" spans="2:14" x14ac:dyDescent="0.35">
      <c r="B60" s="1"/>
    </row>
    <row r="61" spans="2:14" x14ac:dyDescent="0.35">
      <c r="B61" s="6" t="s">
        <v>69</v>
      </c>
      <c r="C61" s="53">
        <f>IFERROR('Data Sheet'!B67,0)</f>
        <v>5817.6</v>
      </c>
      <c r="D61" s="53">
        <f>IFERROR('Data Sheet'!C67,0)</f>
        <v>7199.26</v>
      </c>
      <c r="E61" s="53">
        <f>IFERROR('Data Sheet'!D67,0)</f>
        <v>8489.82</v>
      </c>
      <c r="F61" s="53">
        <f>IFERROR('Data Sheet'!E67,0)</f>
        <v>8677.89</v>
      </c>
      <c r="G61" s="53">
        <f>IFERROR('Data Sheet'!F67,0)</f>
        <v>6928.28</v>
      </c>
      <c r="H61" s="53">
        <f>IFERROR('Data Sheet'!G67,0)</f>
        <v>6007.76</v>
      </c>
      <c r="I61" s="53">
        <f>IFERROR('Data Sheet'!H67,0)</f>
        <v>6373.95</v>
      </c>
      <c r="J61" s="53">
        <f>IFERROR('Data Sheet'!I67,0)</f>
        <v>7028.02</v>
      </c>
      <c r="K61" s="53">
        <f>IFERROR('Data Sheet'!J67,0)</f>
        <v>7459.4</v>
      </c>
      <c r="L61" s="53">
        <f>IFERROR('Data Sheet'!K67,0)</f>
        <v>8279.7000000000007</v>
      </c>
    </row>
    <row r="62" spans="2:14" x14ac:dyDescent="0.35">
      <c r="B62" s="6" t="s">
        <v>45</v>
      </c>
      <c r="C62" s="53">
        <f>IFERROR('Data Sheet'!B68,0)</f>
        <v>9116.1200000000008</v>
      </c>
      <c r="D62" s="53">
        <f>IFERROR('Data Sheet'!C68,0)</f>
        <v>8886.01</v>
      </c>
      <c r="E62" s="53">
        <f>IFERROR('Data Sheet'!D68,0)</f>
        <v>9335.57</v>
      </c>
      <c r="F62" s="53">
        <f>IFERROR('Data Sheet'!E68,0)</f>
        <v>12200.16</v>
      </c>
      <c r="G62" s="53">
        <f>IFERROR('Data Sheet'!F68,0)</f>
        <v>11111.86</v>
      </c>
      <c r="H62" s="53">
        <f>IFERROR('Data Sheet'!G68,0)</f>
        <v>9615.41</v>
      </c>
      <c r="I62" s="53">
        <f>IFERROR('Data Sheet'!H68,0)</f>
        <v>11595.82</v>
      </c>
      <c r="J62" s="53">
        <f>IFERROR('Data Sheet'!I68,0)</f>
        <v>16854.97</v>
      </c>
      <c r="K62" s="53">
        <f>IFERROR('Data Sheet'!J68,0)</f>
        <v>18590.47</v>
      </c>
      <c r="L62" s="53">
        <f>IFERROR('Data Sheet'!K68,0)</f>
        <v>20330.93</v>
      </c>
    </row>
    <row r="63" spans="2:14" x14ac:dyDescent="0.35">
      <c r="B63" s="4" t="s">
        <v>78</v>
      </c>
      <c r="C63" s="53">
        <f>IFERROR('Data Sheet'!B69,0)</f>
        <v>4527.55</v>
      </c>
      <c r="D63" s="53">
        <f>IFERROR('Data Sheet'!C69,0)</f>
        <v>4654.03</v>
      </c>
      <c r="E63" s="53">
        <f>IFERROR('Data Sheet'!D69,0)</f>
        <v>6547.6</v>
      </c>
      <c r="F63" s="53">
        <f>IFERROR('Data Sheet'!E69,0)</f>
        <v>8734.91</v>
      </c>
      <c r="G63" s="53">
        <f>IFERROR('Data Sheet'!F69,0)</f>
        <v>7910.9</v>
      </c>
      <c r="H63" s="53">
        <f>IFERROR('Data Sheet'!G69,0)</f>
        <v>12851.99</v>
      </c>
      <c r="I63" s="53">
        <f>IFERROR('Data Sheet'!H69,0)</f>
        <v>11117.61</v>
      </c>
      <c r="J63" s="53">
        <f>IFERROR('Data Sheet'!I69,0)</f>
        <v>11273.43</v>
      </c>
      <c r="K63" s="53">
        <f>IFERROR('Data Sheet'!J69,0)</f>
        <v>12012.75</v>
      </c>
      <c r="L63" s="53">
        <f>IFERROR('Data Sheet'!K69,0)</f>
        <v>20614.84</v>
      </c>
    </row>
    <row r="64" spans="2:14" x14ac:dyDescent="0.35">
      <c r="B64" s="55" t="s">
        <v>113</v>
      </c>
      <c r="C64" s="54">
        <f>SUM(C61:C63)</f>
        <v>19461.27</v>
      </c>
      <c r="D64" s="54">
        <f t="shared" ref="D64:L64" si="17">SUM(D61:D63)</f>
        <v>20739.3</v>
      </c>
      <c r="E64" s="54">
        <f t="shared" si="17"/>
        <v>24372.989999999998</v>
      </c>
      <c r="F64" s="54">
        <f t="shared" si="17"/>
        <v>29612.959999999999</v>
      </c>
      <c r="G64" s="54">
        <f t="shared" si="17"/>
        <v>25951.040000000001</v>
      </c>
      <c r="H64" s="54">
        <f t="shared" si="17"/>
        <v>28475.16</v>
      </c>
      <c r="I64" s="54">
        <f t="shared" si="17"/>
        <v>29087.38</v>
      </c>
      <c r="J64" s="54">
        <f t="shared" si="17"/>
        <v>35156.42</v>
      </c>
      <c r="K64" s="54">
        <f t="shared" si="17"/>
        <v>38062.620000000003</v>
      </c>
      <c r="L64" s="54">
        <f t="shared" si="17"/>
        <v>49225.47</v>
      </c>
    </row>
    <row r="66" spans="1:14" x14ac:dyDescent="0.35">
      <c r="B66" s="57" t="s">
        <v>114</v>
      </c>
      <c r="C66" s="58">
        <f>IFERROR(C59+C64,0)</f>
        <v>99851.82</v>
      </c>
      <c r="D66" s="58">
        <f t="shared" ref="D66:L66" si="18">IFERROR(D59+D64,0)</f>
        <v>113835.48</v>
      </c>
      <c r="E66" s="58">
        <f t="shared" si="18"/>
        <v>136369.31</v>
      </c>
      <c r="F66" s="58">
        <f t="shared" si="18"/>
        <v>161888.65999999997</v>
      </c>
      <c r="G66" s="58">
        <f t="shared" si="18"/>
        <v>165716.13</v>
      </c>
      <c r="H66" s="58">
        <f t="shared" si="18"/>
        <v>164968.32999999999</v>
      </c>
      <c r="I66" s="58">
        <f t="shared" si="18"/>
        <v>172388.49</v>
      </c>
      <c r="J66" s="58">
        <f t="shared" si="18"/>
        <v>204283.13</v>
      </c>
      <c r="K66" s="58">
        <f t="shared" si="18"/>
        <v>234721.74</v>
      </c>
      <c r="L66" s="58">
        <f t="shared" si="18"/>
        <v>276013.16000000003</v>
      </c>
      <c r="N66" t="str">
        <f ca="1">_xlfn.FORMULATEXT(L66)</f>
        <v>=IFERROR(L59+L64,0)</v>
      </c>
    </row>
    <row r="68" spans="1:14" x14ac:dyDescent="0.35">
      <c r="B68" s="2" t="s">
        <v>115</v>
      </c>
      <c r="C68" s="59" t="b">
        <f>C53=C66</f>
        <v>1</v>
      </c>
      <c r="D68" s="59" t="b">
        <f t="shared" ref="D68:L68" si="19">D53=D66</f>
        <v>1</v>
      </c>
      <c r="E68" s="59" t="b">
        <f t="shared" si="19"/>
        <v>1</v>
      </c>
      <c r="F68" s="59" t="b">
        <f t="shared" si="19"/>
        <v>1</v>
      </c>
      <c r="G68" s="59" t="b">
        <f t="shared" si="19"/>
        <v>1</v>
      </c>
      <c r="H68" s="59" t="b">
        <f t="shared" si="19"/>
        <v>1</v>
      </c>
      <c r="I68" s="59" t="b">
        <f t="shared" si="19"/>
        <v>1</v>
      </c>
      <c r="J68" s="59" t="b">
        <f t="shared" si="19"/>
        <v>1</v>
      </c>
      <c r="K68" s="59" t="b">
        <f t="shared" si="19"/>
        <v>1</v>
      </c>
      <c r="L68" s="59" t="b">
        <f t="shared" si="19"/>
        <v>1</v>
      </c>
    </row>
    <row r="71" spans="1:14" x14ac:dyDescent="0.35">
      <c r="A71" t="s">
        <v>109</v>
      </c>
      <c r="B71" s="23" t="s">
        <v>117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spans="1:14" ht="15" thickBot="1" x14ac:dyDescent="0.4">
      <c r="B72" s="2" t="s">
        <v>150</v>
      </c>
    </row>
    <row r="73" spans="1:14" x14ac:dyDescent="0.35">
      <c r="B73" s="73" t="s">
        <v>118</v>
      </c>
      <c r="C73" s="76">
        <f>IFERROR('cash flow '!D4,0)</f>
        <v>7595</v>
      </c>
      <c r="D73" s="76">
        <f>IFERROR('cash flow '!E4,0)</f>
        <v>7911</v>
      </c>
      <c r="E73" s="76">
        <f>IFERROR('cash flow '!F4,0)</f>
        <v>10159</v>
      </c>
      <c r="F73" s="76">
        <f>IFERROR('cash flow '!G4,0)</f>
        <v>11112</v>
      </c>
      <c r="G73" s="76">
        <f>IFERROR('cash flow '!H4,0)</f>
        <v>7774</v>
      </c>
      <c r="H73" s="76">
        <f>IFERROR('cash flow '!I4,0)</f>
        <v>7588</v>
      </c>
      <c r="I73" s="76">
        <f>IFERROR('cash flow '!J4,0)</f>
        <v>10515</v>
      </c>
      <c r="J73" s="76">
        <f>IFERROR('cash flow '!K4,0)</f>
        <v>15642</v>
      </c>
      <c r="K73" s="76">
        <f>IFERROR('cash flow '!L4,0)</f>
        <v>17541</v>
      </c>
      <c r="L73" s="76">
        <f>IFERROR('cash flow '!M4,0)</f>
        <v>22050</v>
      </c>
    </row>
    <row r="74" spans="1:14" x14ac:dyDescent="0.35">
      <c r="B74" s="61" t="s">
        <v>69</v>
      </c>
      <c r="C74" s="76">
        <f>IFERROR('cash flow '!D5,0)</f>
        <v>177</v>
      </c>
      <c r="D74" s="76">
        <f>IFERROR('cash flow '!E5,0)</f>
        <v>-8609</v>
      </c>
      <c r="E74" s="76">
        <f>IFERROR('cash flow '!F5,0)</f>
        <v>-11918</v>
      </c>
      <c r="F74" s="76">
        <f>IFERROR('cash flow '!G5,0)</f>
        <v>-13712</v>
      </c>
      <c r="G74" s="76">
        <f>IFERROR('cash flow '!H5,0)</f>
        <v>-1516</v>
      </c>
      <c r="H74" s="76">
        <f>IFERROR('cash flow '!I5,0)</f>
        <v>4896</v>
      </c>
      <c r="I74" s="76">
        <f>IFERROR('cash flow '!J5,0)</f>
        <v>-2506</v>
      </c>
      <c r="J74" s="76">
        <f>IFERROR('cash flow '!K5,0)</f>
        <v>-21702</v>
      </c>
      <c r="K74" s="76">
        <f>IFERROR('cash flow '!L5,0)</f>
        <v>-21777</v>
      </c>
      <c r="L74" s="76">
        <f>IFERROR('cash flow '!M5,0)</f>
        <v>-20952</v>
      </c>
    </row>
    <row r="75" spans="1:14" x14ac:dyDescent="0.35">
      <c r="B75" s="61" t="s">
        <v>45</v>
      </c>
      <c r="C75" s="76">
        <f>IFERROR('cash flow '!D6,0)</f>
        <v>-1113</v>
      </c>
      <c r="D75" s="76">
        <f>IFERROR('cash flow '!E6,0)</f>
        <v>241</v>
      </c>
      <c r="E75" s="76">
        <f>IFERROR('cash flow '!F6,0)</f>
        <v>-256</v>
      </c>
      <c r="F75" s="76">
        <f>IFERROR('cash flow '!G6,0)</f>
        <v>-2276</v>
      </c>
      <c r="G75" s="76">
        <f>IFERROR('cash flow '!H6,0)</f>
        <v>1316</v>
      </c>
      <c r="H75" s="76">
        <f>IFERROR('cash flow '!I6,0)</f>
        <v>226</v>
      </c>
      <c r="I75" s="76">
        <f>IFERROR('cash flow '!J6,0)</f>
        <v>-2173</v>
      </c>
      <c r="J75" s="76">
        <f>IFERROR('cash flow '!K6,0)</f>
        <v>-5252</v>
      </c>
      <c r="K75" s="76">
        <f>IFERROR('cash flow '!L6,0)</f>
        <v>-1753</v>
      </c>
      <c r="L75" s="76">
        <f>IFERROR('cash flow '!M6,0)</f>
        <v>-1646</v>
      </c>
    </row>
    <row r="76" spans="1:14" x14ac:dyDescent="0.35">
      <c r="B76" s="61" t="s">
        <v>119</v>
      </c>
      <c r="C76" s="76">
        <f>IFERROR('cash flow '!D7,0)</f>
        <v>1939</v>
      </c>
      <c r="D76" s="76">
        <f>IFERROR('cash flow '!E7,0)</f>
        <v>2645</v>
      </c>
      <c r="E76" s="76">
        <f>IFERROR('cash flow '!F7,0)</f>
        <v>5361</v>
      </c>
      <c r="F76" s="76">
        <f>IFERROR('cash flow '!G7,0)</f>
        <v>3466</v>
      </c>
      <c r="G76" s="76">
        <f>IFERROR('cash flow '!H7,0)</f>
        <v>-6775</v>
      </c>
      <c r="H76" s="76">
        <f>IFERROR('cash flow '!I7,0)</f>
        <v>7049</v>
      </c>
      <c r="I76" s="76">
        <f>IFERROR('cash flow '!J7,0)</f>
        <v>4972</v>
      </c>
      <c r="J76" s="76">
        <f>IFERROR('cash flow '!K7,0)</f>
        <v>7013</v>
      </c>
      <c r="K76" s="76">
        <f>IFERROR('cash flow '!L7,0)</f>
        <v>4354</v>
      </c>
      <c r="L76" s="76">
        <f>IFERROR('cash flow '!M7,0)</f>
        <v>8485</v>
      </c>
    </row>
    <row r="77" spans="1:14" x14ac:dyDescent="0.35">
      <c r="B77" s="61" t="s">
        <v>120</v>
      </c>
      <c r="C77" s="76">
        <f>IFERROR('cash flow '!D8,0)</f>
        <v>0</v>
      </c>
      <c r="D77" s="76">
        <f>IFERROR('cash flow '!E8,0)</f>
        <v>0</v>
      </c>
      <c r="E77" s="76">
        <f>IFERROR('cash flow '!F8,0)</f>
        <v>0</v>
      </c>
      <c r="F77" s="76">
        <f>IFERROR('cash flow '!G8,0)</f>
        <v>0</v>
      </c>
      <c r="G77" s="76">
        <f>IFERROR('cash flow '!H8,0)</f>
        <v>0</v>
      </c>
      <c r="H77" s="76">
        <f>IFERROR('cash flow '!I8,0)</f>
        <v>0</v>
      </c>
      <c r="I77" s="76">
        <f>IFERROR('cash flow '!J8,0)</f>
        <v>0</v>
      </c>
      <c r="J77" s="76">
        <f>IFERROR('cash flow '!K8,0)</f>
        <v>0</v>
      </c>
      <c r="K77" s="76">
        <f>IFERROR('cash flow '!L8,0)</f>
        <v>0</v>
      </c>
      <c r="L77" s="76">
        <f>IFERROR('cash flow '!M8,0)</f>
        <v>0</v>
      </c>
    </row>
    <row r="78" spans="1:14" ht="15" thickBot="1" x14ac:dyDescent="0.4">
      <c r="B78" s="61" t="s">
        <v>121</v>
      </c>
      <c r="C78" s="76">
        <f>IFERROR('cash flow '!D9,0)</f>
        <v>-4241</v>
      </c>
      <c r="D78" s="76">
        <f>IFERROR('cash flow '!E9,0)</f>
        <v>0</v>
      </c>
      <c r="E78" s="76">
        <f>IFERROR('cash flow '!F9,0)</f>
        <v>0</v>
      </c>
      <c r="F78" s="76">
        <f>IFERROR('cash flow '!G9,0)</f>
        <v>0</v>
      </c>
      <c r="G78" s="76">
        <f>IFERROR('cash flow '!H9,0)</f>
        <v>0</v>
      </c>
      <c r="H78" s="76">
        <f>IFERROR('cash flow '!I9,0)</f>
        <v>0</v>
      </c>
      <c r="I78" s="76">
        <f>IFERROR('cash flow '!J9,0)</f>
        <v>0</v>
      </c>
      <c r="J78" s="76">
        <f>IFERROR('cash flow '!K9,0)</f>
        <v>0</v>
      </c>
      <c r="K78" s="76">
        <f>IFERROR('cash flow '!L9,0)</f>
        <v>0</v>
      </c>
      <c r="L78" s="76">
        <f>IFERROR('cash flow '!M9,0)</f>
        <v>0</v>
      </c>
    </row>
    <row r="79" spans="1:14" x14ac:dyDescent="0.35">
      <c r="B79" s="73" t="s">
        <v>122</v>
      </c>
      <c r="C79" s="76">
        <f>IFERROR('cash flow '!D10,0)</f>
        <v>-3238</v>
      </c>
      <c r="D79" s="76">
        <f>IFERROR('cash flow '!E10,0)</f>
        <v>-5724</v>
      </c>
      <c r="E79" s="76">
        <f>IFERROR('cash flow '!F10,0)</f>
        <v>-6813</v>
      </c>
      <c r="F79" s="76">
        <f>IFERROR('cash flow '!G10,0)</f>
        <v>-12522</v>
      </c>
      <c r="G79" s="76">
        <f>IFERROR('cash flow '!H10,0)</f>
        <v>-6974</v>
      </c>
      <c r="H79" s="76">
        <f>IFERROR('cash flow '!I10,0)</f>
        <v>12171</v>
      </c>
      <c r="I79" s="76">
        <f>IFERROR('cash flow '!J10,0)</f>
        <v>293</v>
      </c>
      <c r="J79" s="76">
        <f>IFERROR('cash flow '!K10,0)</f>
        <v>-19941</v>
      </c>
      <c r="K79" s="76">
        <f>IFERROR('cash flow '!L10,0)</f>
        <v>-19175</v>
      </c>
      <c r="L79" s="76">
        <f>IFERROR('cash flow '!M10,0)</f>
        <v>-14113</v>
      </c>
    </row>
    <row r="80" spans="1:14" x14ac:dyDescent="0.35">
      <c r="B80" s="61" t="s">
        <v>123</v>
      </c>
      <c r="C80" s="76">
        <f>IFERROR('cash flow '!D11,0)</f>
        <v>-1973</v>
      </c>
      <c r="D80" s="76">
        <f>IFERROR('cash flow '!E11,0)</f>
        <v>-2005</v>
      </c>
      <c r="E80" s="76">
        <f>IFERROR('cash flow '!F11,0)</f>
        <v>-2664</v>
      </c>
      <c r="F80" s="76">
        <f>IFERROR('cash flow '!G11,0)</f>
        <v>-2937</v>
      </c>
      <c r="G80" s="76">
        <f>IFERROR('cash flow '!H11,0)</f>
        <v>-2257</v>
      </c>
      <c r="H80" s="76">
        <f>IFERROR('cash flow '!I11,0)</f>
        <v>-1850</v>
      </c>
      <c r="I80" s="76">
        <f>IFERROR('cash flow '!J11,0)</f>
        <v>-1560</v>
      </c>
      <c r="J80" s="76">
        <f>IFERROR('cash flow '!K11,0)</f>
        <v>-2775</v>
      </c>
      <c r="K80" s="76">
        <f>IFERROR('cash flow '!L11,0)</f>
        <v>-3996</v>
      </c>
      <c r="L80" s="76">
        <f>IFERROR('cash flow '!M11,0)</f>
        <v>-4761</v>
      </c>
    </row>
    <row r="81" spans="2:12" x14ac:dyDescent="0.35">
      <c r="B81" s="2" t="s">
        <v>149</v>
      </c>
      <c r="C81" s="77">
        <f>SUM(C73:C80)</f>
        <v>-854</v>
      </c>
      <c r="D81" s="77">
        <f t="shared" ref="D81:L81" si="20">SUM(D73:D80)</f>
        <v>-5541</v>
      </c>
      <c r="E81" s="77">
        <f t="shared" si="20"/>
        <v>-6131</v>
      </c>
      <c r="F81" s="77">
        <f t="shared" si="20"/>
        <v>-16869</v>
      </c>
      <c r="G81" s="77">
        <f t="shared" si="20"/>
        <v>-8432</v>
      </c>
      <c r="H81" s="77">
        <f t="shared" si="20"/>
        <v>30080</v>
      </c>
      <c r="I81" s="77">
        <f t="shared" si="20"/>
        <v>9541</v>
      </c>
      <c r="J81" s="77">
        <f t="shared" si="20"/>
        <v>-27015</v>
      </c>
      <c r="K81" s="77">
        <f t="shared" si="20"/>
        <v>-24806</v>
      </c>
      <c r="L81" s="77">
        <f t="shared" si="20"/>
        <v>-10937</v>
      </c>
    </row>
    <row r="83" spans="2:12" x14ac:dyDescent="0.35">
      <c r="B83" s="2" t="s">
        <v>151</v>
      </c>
    </row>
    <row r="84" spans="2:12" x14ac:dyDescent="0.35">
      <c r="B84" s="62" t="s">
        <v>124</v>
      </c>
      <c r="C84" s="81">
        <f>IFERROR('cash flow '!C13,0)</f>
        <v>-4759</v>
      </c>
      <c r="D84" s="81">
        <f>IFERROR('cash flow '!D13,0)</f>
        <v>-4172</v>
      </c>
      <c r="E84" s="81">
        <f>IFERROR('cash flow '!E13,0)</f>
        <v>-5026</v>
      </c>
      <c r="F84" s="81">
        <f>IFERROR('cash flow '!F13,0)</f>
        <v>-5906</v>
      </c>
      <c r="G84" s="81">
        <f>IFERROR('cash flow '!G13,0)</f>
        <v>-7340</v>
      </c>
      <c r="H84" s="81">
        <f>IFERROR('cash flow '!H13,0)</f>
        <v>-6896</v>
      </c>
      <c r="I84" s="81">
        <f>IFERROR('cash flow '!I13,0)</f>
        <v>-5989</v>
      </c>
      <c r="J84" s="81">
        <f>IFERROR('cash flow '!J13,0)</f>
        <v>-6040</v>
      </c>
      <c r="K84" s="81">
        <f>IFERROR('cash flow '!K13,0)</f>
        <v>-6305</v>
      </c>
      <c r="L84" s="81">
        <f>IFERROR('cash flow '!L13,0)</f>
        <v>-9946</v>
      </c>
    </row>
    <row r="85" spans="2:12" x14ac:dyDescent="0.35">
      <c r="B85" s="62" t="s">
        <v>125</v>
      </c>
      <c r="C85" s="81">
        <f>IFERROR('cash flow '!C14,0)</f>
        <v>43</v>
      </c>
      <c r="D85" s="81">
        <f>IFERROR('cash flow '!D14,0)</f>
        <v>59</v>
      </c>
      <c r="E85" s="81">
        <f>IFERROR('cash flow '!E14,0)</f>
        <v>63</v>
      </c>
      <c r="F85" s="81">
        <f>IFERROR('cash flow '!F14,0)</f>
        <v>115</v>
      </c>
      <c r="G85" s="81">
        <f>IFERROR('cash flow '!G14,0)</f>
        <v>142</v>
      </c>
      <c r="H85" s="81">
        <f>IFERROR('cash flow '!H14,0)</f>
        <v>102</v>
      </c>
      <c r="I85" s="81">
        <f>IFERROR('cash flow '!I14,0)</f>
        <v>1364</v>
      </c>
      <c r="J85" s="81">
        <f>IFERROR('cash flow '!J14,0)</f>
        <v>120</v>
      </c>
      <c r="K85" s="81">
        <f>IFERROR('cash flow '!K14,0)</f>
        <v>138</v>
      </c>
      <c r="L85" s="81">
        <f>IFERROR('cash flow '!L14,0)</f>
        <v>273</v>
      </c>
    </row>
    <row r="86" spans="2:12" x14ac:dyDescent="0.35">
      <c r="B86" s="62" t="s">
        <v>126</v>
      </c>
      <c r="C86" s="81">
        <f>IFERROR('cash flow '!C15,0)</f>
        <v>-80047</v>
      </c>
      <c r="D86" s="81">
        <f>IFERROR('cash flow '!D15,0)</f>
        <v>-87898</v>
      </c>
      <c r="E86" s="81">
        <f>IFERROR('cash flow '!E15,0)</f>
        <v>-132173</v>
      </c>
      <c r="F86" s="81">
        <f>IFERROR('cash flow '!F15,0)</f>
        <v>-155159</v>
      </c>
      <c r="G86" s="81">
        <f>IFERROR('cash flow '!G15,0)</f>
        <v>-196474</v>
      </c>
      <c r="H86" s="81">
        <f>IFERROR('cash flow '!H15,0)</f>
        <v>-198568</v>
      </c>
      <c r="I86" s="81">
        <f>IFERROR('cash flow '!I15,0)</f>
        <v>-120055</v>
      </c>
      <c r="J86" s="81">
        <f>IFERROR('cash flow '!J15,0)</f>
        <v>-65421</v>
      </c>
      <c r="K86" s="81">
        <f>IFERROR('cash flow '!K15,0)</f>
        <v>-50165</v>
      </c>
      <c r="L86" s="81">
        <f>IFERROR('cash flow '!L15,0)</f>
        <v>-49927</v>
      </c>
    </row>
    <row r="87" spans="2:12" x14ac:dyDescent="0.35">
      <c r="B87" s="62" t="s">
        <v>127</v>
      </c>
      <c r="C87" s="81">
        <f>IFERROR('cash flow '!C16,0)</f>
        <v>79778</v>
      </c>
      <c r="D87" s="81">
        <f>IFERROR('cash flow '!D16,0)</f>
        <v>86436</v>
      </c>
      <c r="E87" s="81">
        <f>IFERROR('cash flow '!E16,0)</f>
        <v>130940</v>
      </c>
      <c r="F87" s="81">
        <f>IFERROR('cash flow '!F16,0)</f>
        <v>154631</v>
      </c>
      <c r="G87" s="81">
        <f>IFERROR('cash flow '!G16,0)</f>
        <v>195898</v>
      </c>
      <c r="H87" s="81">
        <f>IFERROR('cash flow '!H16,0)</f>
        <v>198132</v>
      </c>
      <c r="I87" s="81">
        <f>IFERROR('cash flow '!I16,0)</f>
        <v>111749</v>
      </c>
      <c r="J87" s="81">
        <f>IFERROR('cash flow '!J16,0)</f>
        <v>65127</v>
      </c>
      <c r="K87" s="81">
        <f>IFERROR('cash flow '!K16,0)</f>
        <v>46269</v>
      </c>
      <c r="L87" s="81">
        <f>IFERROR('cash flow '!L16,0)</f>
        <v>50919</v>
      </c>
    </row>
    <row r="88" spans="2:12" x14ac:dyDescent="0.35">
      <c r="B88" s="62" t="s">
        <v>128</v>
      </c>
      <c r="C88" s="81">
        <f>IFERROR('cash flow '!C17,0)</f>
        <v>356</v>
      </c>
      <c r="D88" s="81">
        <f>IFERROR('cash flow '!D17,0)</f>
        <v>311</v>
      </c>
      <c r="E88" s="81">
        <f>IFERROR('cash flow '!E17,0)</f>
        <v>346</v>
      </c>
      <c r="F88" s="81">
        <f>IFERROR('cash flow '!F17,0)</f>
        <v>254</v>
      </c>
      <c r="G88" s="81">
        <f>IFERROR('cash flow '!G17,0)</f>
        <v>314</v>
      </c>
      <c r="H88" s="81">
        <f>IFERROR('cash flow '!H17,0)</f>
        <v>372</v>
      </c>
      <c r="I88" s="81">
        <f>IFERROR('cash flow '!I17,0)</f>
        <v>431</v>
      </c>
      <c r="J88" s="81">
        <f>IFERROR('cash flow '!J17,0)</f>
        <v>420</v>
      </c>
      <c r="K88" s="81">
        <f>IFERROR('cash flow '!K17,0)</f>
        <v>464</v>
      </c>
      <c r="L88" s="81">
        <f>IFERROR('cash flow '!L17,0)</f>
        <v>703</v>
      </c>
    </row>
    <row r="89" spans="2:12" x14ac:dyDescent="0.35">
      <c r="B89" s="62" t="s">
        <v>129</v>
      </c>
      <c r="C89" s="81">
        <f>IFERROR('cash flow '!C18,0)</f>
        <v>169</v>
      </c>
      <c r="D89" s="81">
        <f>IFERROR('cash flow '!D18,0)</f>
        <v>208</v>
      </c>
      <c r="E89" s="81">
        <f>IFERROR('cash flow '!E18,0)</f>
        <v>409</v>
      </c>
      <c r="F89" s="81">
        <f>IFERROR('cash flow '!F18,0)</f>
        <v>316</v>
      </c>
      <c r="G89" s="81">
        <f>IFERROR('cash flow '!G18,0)</f>
        <v>466</v>
      </c>
      <c r="H89" s="81">
        <f>IFERROR('cash flow '!H18,0)</f>
        <v>722</v>
      </c>
      <c r="I89" s="81">
        <f>IFERROR('cash flow '!I18,0)</f>
        <v>577</v>
      </c>
      <c r="J89" s="81">
        <f>IFERROR('cash flow '!J18,0)</f>
        <v>1247</v>
      </c>
      <c r="K89" s="81">
        <f>IFERROR('cash flow '!K18,0)</f>
        <v>1397</v>
      </c>
      <c r="L89" s="81">
        <f>IFERROR('cash flow '!L18,0)</f>
        <v>1213</v>
      </c>
    </row>
    <row r="90" spans="2:12" x14ac:dyDescent="0.35">
      <c r="B90" s="62" t="s">
        <v>130</v>
      </c>
      <c r="C90" s="81">
        <f>IFERROR('cash flow '!C19,0)</f>
        <v>0</v>
      </c>
      <c r="D90" s="81">
        <f>IFERROR('cash flow '!D19,0)</f>
        <v>-147</v>
      </c>
      <c r="E90" s="81">
        <f>IFERROR('cash flow '!E19,0)</f>
        <v>-647</v>
      </c>
      <c r="F90" s="81">
        <f>IFERROR('cash flow '!F19,0)</f>
        <v>-704</v>
      </c>
      <c r="G90" s="81">
        <f>IFERROR('cash flow '!G19,0)</f>
        <v>-319</v>
      </c>
      <c r="H90" s="81">
        <f>IFERROR('cash flow '!H19,0)</f>
        <v>-418</v>
      </c>
      <c r="I90" s="81">
        <f>IFERROR('cash flow '!I19,0)</f>
        <v>-359</v>
      </c>
      <c r="J90" s="81">
        <f>IFERROR('cash flow '!J19,0)</f>
        <v>-222</v>
      </c>
      <c r="K90" s="81">
        <f>IFERROR('cash flow '!K19,0)</f>
        <v>-62</v>
      </c>
      <c r="L90" s="81">
        <f>IFERROR('cash flow '!L19,0)</f>
        <v>-249</v>
      </c>
    </row>
    <row r="91" spans="2:12" x14ac:dyDescent="0.35">
      <c r="B91" s="62" t="s">
        <v>131</v>
      </c>
      <c r="C91" s="81">
        <f>IFERROR('cash flow '!C20,0)</f>
        <v>401</v>
      </c>
      <c r="D91" s="81">
        <f>IFERROR('cash flow '!D20,0)</f>
        <v>0</v>
      </c>
      <c r="E91" s="81">
        <f>IFERROR('cash flow '!E20,0)</f>
        <v>88</v>
      </c>
      <c r="F91" s="81">
        <f>IFERROR('cash flow '!F20,0)</f>
        <v>1677</v>
      </c>
      <c r="G91" s="81">
        <f>IFERROR('cash flow '!G20,0)</f>
        <v>717</v>
      </c>
      <c r="H91" s="81">
        <f>IFERROR('cash flow '!H20,0)</f>
        <v>175</v>
      </c>
      <c r="I91" s="81">
        <f>IFERROR('cash flow '!I20,0)</f>
        <v>316</v>
      </c>
      <c r="J91" s="81">
        <f>IFERROR('cash flow '!J20,0)</f>
        <v>617</v>
      </c>
      <c r="K91" s="81">
        <f>IFERROR('cash flow '!K20,0)</f>
        <v>1863</v>
      </c>
      <c r="L91" s="81">
        <f>IFERROR('cash flow '!L20,0)</f>
        <v>1043</v>
      </c>
    </row>
    <row r="92" spans="2:12" x14ac:dyDescent="0.35">
      <c r="B92" s="62" t="s">
        <v>132</v>
      </c>
      <c r="C92" s="81">
        <f>IFERROR('cash flow '!C21,0)</f>
        <v>0</v>
      </c>
      <c r="D92" s="81">
        <f>IFERROR('cash flow '!D21,0)</f>
        <v>-208</v>
      </c>
      <c r="E92" s="81">
        <f>IFERROR('cash flow '!E21,0)</f>
        <v>-83</v>
      </c>
      <c r="F92" s="81">
        <f>IFERROR('cash flow '!F21,0)</f>
        <v>-401</v>
      </c>
      <c r="G92" s="81">
        <f>IFERROR('cash flow '!G21,0)</f>
        <v>0</v>
      </c>
      <c r="H92" s="81">
        <f>IFERROR('cash flow '!H21,0)</f>
        <v>-59</v>
      </c>
      <c r="I92" s="81">
        <f>IFERROR('cash flow '!I21,0)</f>
        <v>0</v>
      </c>
      <c r="J92" s="81">
        <f>IFERROR('cash flow '!J21,0)</f>
        <v>-42</v>
      </c>
      <c r="K92" s="81">
        <f>IFERROR('cash flow '!K21,0)</f>
        <v>-587</v>
      </c>
      <c r="L92" s="81">
        <f>IFERROR('cash flow '!L21,0)</f>
        <v>-53</v>
      </c>
    </row>
    <row r="93" spans="2:12" x14ac:dyDescent="0.35">
      <c r="B93" s="62" t="s">
        <v>133</v>
      </c>
      <c r="C93" s="81">
        <f>IFERROR('cash flow '!C22,0)</f>
        <v>-22</v>
      </c>
      <c r="D93" s="81">
        <f>IFERROR('cash flow '!D22,0)</f>
        <v>0</v>
      </c>
      <c r="E93" s="81">
        <f>IFERROR('cash flow '!E22,0)</f>
        <v>0</v>
      </c>
      <c r="F93" s="81">
        <f>IFERROR('cash flow '!F22,0)</f>
        <v>0</v>
      </c>
      <c r="G93" s="81">
        <f>IFERROR('cash flow '!G22,0)</f>
        <v>0</v>
      </c>
      <c r="H93" s="81">
        <f>IFERROR('cash flow '!H22,0)</f>
        <v>6</v>
      </c>
      <c r="I93" s="81">
        <f>IFERROR('cash flow '!I22,0)</f>
        <v>-262</v>
      </c>
      <c r="J93" s="81">
        <f>IFERROR('cash flow '!J22,0)</f>
        <v>-552</v>
      </c>
      <c r="K93" s="81">
        <f>IFERROR('cash flow '!K22,0)</f>
        <v>-93</v>
      </c>
      <c r="L93" s="81">
        <f>IFERROR('cash flow '!L22,0)</f>
        <v>485</v>
      </c>
    </row>
    <row r="94" spans="2:12" ht="15" thickBot="1" x14ac:dyDescent="0.4">
      <c r="B94" s="62" t="s">
        <v>134</v>
      </c>
      <c r="C94" s="81">
        <f>IFERROR('cash flow '!C23,0)</f>
        <v>-275</v>
      </c>
      <c r="D94" s="81">
        <f>IFERROR('cash flow '!D23,0)</f>
        <v>-94</v>
      </c>
      <c r="E94" s="81">
        <f>IFERROR('cash flow '!E23,0)</f>
        <v>209</v>
      </c>
      <c r="F94" s="81">
        <f>IFERROR('cash flow '!F23,0)</f>
        <v>-290</v>
      </c>
      <c r="G94" s="81">
        <f>IFERROR('cash flow '!G23,0)</f>
        <v>-577</v>
      </c>
      <c r="H94" s="81">
        <f>IFERROR('cash flow '!H23,0)</f>
        <v>-437</v>
      </c>
      <c r="I94" s="81">
        <f>IFERROR('cash flow '!I23,0)</f>
        <v>-7457</v>
      </c>
      <c r="J94" s="81">
        <f>IFERROR('cash flow '!J23,0)</f>
        <v>1494</v>
      </c>
      <c r="K94" s="81">
        <f>IFERROR('cash flow '!K23,0)</f>
        <v>-1786</v>
      </c>
      <c r="L94" s="81">
        <f>IFERROR('cash flow '!L23,0)</f>
        <v>-78</v>
      </c>
    </row>
    <row r="95" spans="2:12" x14ac:dyDescent="0.35">
      <c r="B95" s="70" t="s">
        <v>144</v>
      </c>
      <c r="C95" s="81">
        <f>SUM(C84:C94)</f>
        <v>-4356</v>
      </c>
      <c r="D95" s="81">
        <f t="shared" ref="D95:L95" si="21">SUM(D84:D94)</f>
        <v>-5505</v>
      </c>
      <c r="E95" s="81">
        <f t="shared" si="21"/>
        <v>-5874</v>
      </c>
      <c r="F95" s="81">
        <f t="shared" si="21"/>
        <v>-5467</v>
      </c>
      <c r="G95" s="81">
        <f t="shared" si="21"/>
        <v>-7173</v>
      </c>
      <c r="H95" s="81">
        <f t="shared" si="21"/>
        <v>-6869</v>
      </c>
      <c r="I95" s="81">
        <f t="shared" si="21"/>
        <v>-19685</v>
      </c>
      <c r="J95" s="81">
        <f t="shared" si="21"/>
        <v>-3252</v>
      </c>
      <c r="K95" s="81">
        <f t="shared" si="21"/>
        <v>-8867</v>
      </c>
      <c r="L95" s="81">
        <f t="shared" si="21"/>
        <v>-5617</v>
      </c>
    </row>
    <row r="97" spans="2:12" x14ac:dyDescent="0.35">
      <c r="B97" s="2" t="s">
        <v>152</v>
      </c>
    </row>
    <row r="98" spans="2:12" x14ac:dyDescent="0.35">
      <c r="B98" s="61" t="s">
        <v>135</v>
      </c>
      <c r="C98" s="76">
        <f>IFERROR('cash flow '!C25,0)</f>
        <v>3</v>
      </c>
      <c r="D98" s="76">
        <f>IFERROR('cash flow '!D25,0)</f>
        <v>18</v>
      </c>
      <c r="E98" s="76">
        <f>IFERROR('cash flow '!E25,0)</f>
        <v>12</v>
      </c>
      <c r="F98" s="76">
        <f>IFERROR('cash flow '!F25,0)</f>
        <v>4</v>
      </c>
      <c r="G98" s="76">
        <f>IFERROR('cash flow '!G25,0)</f>
        <v>1</v>
      </c>
      <c r="H98" s="76">
        <f>IFERROR('cash flow '!H25,0)</f>
        <v>1243</v>
      </c>
      <c r="I98" s="76">
        <f>IFERROR('cash flow '!I25,0)</f>
        <v>1</v>
      </c>
      <c r="J98" s="76">
        <f>IFERROR('cash flow '!J25,0)</f>
        <v>1</v>
      </c>
      <c r="K98" s="76">
        <f>IFERROR('cash flow '!K25,0)</f>
        <v>1</v>
      </c>
      <c r="L98" s="76">
        <f>IFERROR('cash flow '!L25,0)</f>
        <v>1</v>
      </c>
    </row>
    <row r="99" spans="2:12" x14ac:dyDescent="0.35">
      <c r="B99" s="61" t="s">
        <v>136</v>
      </c>
      <c r="C99" s="76">
        <f>IFERROR('cash flow '!C26,0)</f>
        <v>0</v>
      </c>
      <c r="D99" s="76">
        <f>IFERROR('cash flow '!D26,0)</f>
        <v>0</v>
      </c>
      <c r="E99" s="76">
        <f>IFERROR('cash flow '!E26,0)</f>
        <v>0</v>
      </c>
      <c r="F99" s="76">
        <f>IFERROR('cash flow '!F26,0)</f>
        <v>0</v>
      </c>
      <c r="G99" s="76">
        <f>IFERROR('cash flow '!G26,0)</f>
        <v>71389</v>
      </c>
      <c r="H99" s="76">
        <f>IFERROR('cash flow '!H26,0)</f>
        <v>52618</v>
      </c>
      <c r="I99" s="76">
        <f>IFERROR('cash flow '!I26,0)</f>
        <v>38100</v>
      </c>
      <c r="J99" s="76">
        <f>IFERROR('cash flow '!J26,0)</f>
        <v>53880</v>
      </c>
      <c r="K99" s="76">
        <f>IFERROR('cash flow '!K26,0)</f>
        <v>55622</v>
      </c>
      <c r="L99" s="76">
        <f>IFERROR('cash flow '!L26,0)</f>
        <v>61308</v>
      </c>
    </row>
    <row r="100" spans="2:12" x14ac:dyDescent="0.35">
      <c r="B100" s="61" t="s">
        <v>137</v>
      </c>
      <c r="C100" s="76">
        <f>IFERROR('cash flow '!C27,0)</f>
        <v>0</v>
      </c>
      <c r="D100" s="76">
        <f>IFERROR('cash flow '!D27,0)</f>
        <v>0</v>
      </c>
      <c r="E100" s="76">
        <f>IFERROR('cash flow '!E27,0)</f>
        <v>0</v>
      </c>
      <c r="F100" s="76">
        <f>IFERROR('cash flow '!F27,0)</f>
        <v>0</v>
      </c>
      <c r="G100" s="76">
        <f>IFERROR('cash flow '!G27,0)</f>
        <v>-56352</v>
      </c>
      <c r="H100" s="76">
        <f>IFERROR('cash flow '!H27,0)</f>
        <v>-44044</v>
      </c>
      <c r="I100" s="76">
        <f>IFERROR('cash flow '!I27,0)</f>
        <v>-37505</v>
      </c>
      <c r="J100" s="76">
        <f>IFERROR('cash flow '!J27,0)</f>
        <v>-57223</v>
      </c>
      <c r="K100" s="76">
        <f>IFERROR('cash flow '!K27,0)</f>
        <v>-37056</v>
      </c>
      <c r="L100" s="76">
        <f>IFERROR('cash flow '!L27,0)</f>
        <v>-46805</v>
      </c>
    </row>
    <row r="101" spans="2:12" x14ac:dyDescent="0.35">
      <c r="B101" s="61" t="s">
        <v>138</v>
      </c>
      <c r="C101" s="76">
        <f>IFERROR('cash flow '!C28,0)</f>
        <v>-489</v>
      </c>
      <c r="D101" s="76">
        <f>IFERROR('cash flow '!D28,0)</f>
        <v>-443</v>
      </c>
      <c r="E101" s="76">
        <f>IFERROR('cash flow '!E28,0)</f>
        <v>-471</v>
      </c>
      <c r="F101" s="76">
        <f>IFERROR('cash flow '!F28,0)</f>
        <v>-521</v>
      </c>
      <c r="G101" s="76">
        <f>IFERROR('cash flow '!G28,0)</f>
        <v>-723</v>
      </c>
      <c r="H101" s="76">
        <f>IFERROR('cash flow '!H28,0)</f>
        <v>-624</v>
      </c>
      <c r="I101" s="76">
        <f>IFERROR('cash flow '!I28,0)</f>
        <v>-809</v>
      </c>
      <c r="J101" s="76">
        <f>IFERROR('cash flow '!J28,0)</f>
        <v>-680</v>
      </c>
      <c r="K101" s="76">
        <f>IFERROR('cash flow '!K28,0)</f>
        <v>-734</v>
      </c>
      <c r="L101" s="76">
        <f>IFERROR('cash flow '!L28,0)</f>
        <v>-597</v>
      </c>
    </row>
    <row r="102" spans="2:12" x14ac:dyDescent="0.35">
      <c r="B102" s="61" t="s">
        <v>139</v>
      </c>
      <c r="C102" s="76">
        <f>IFERROR('cash flow '!C29,0)</f>
        <v>-1200</v>
      </c>
      <c r="D102" s="76">
        <f>IFERROR('cash flow '!D29,0)</f>
        <v>-932</v>
      </c>
      <c r="E102" s="76">
        <f>IFERROR('cash flow '!E29,0)</f>
        <v>-936</v>
      </c>
      <c r="F102" s="76">
        <f>IFERROR('cash flow '!F29,0)</f>
        <v>-963</v>
      </c>
      <c r="G102" s="76">
        <f>IFERROR('cash flow '!G29,0)</f>
        <v>-1134</v>
      </c>
      <c r="H102" s="76">
        <f>IFERROR('cash flow '!H29,0)</f>
        <v>-1398</v>
      </c>
      <c r="I102" s="76">
        <f>IFERROR('cash flow '!I29,0)</f>
        <v>-271</v>
      </c>
      <c r="J102" s="76">
        <f>IFERROR('cash flow '!J29,0)</f>
        <v>-1037</v>
      </c>
      <c r="K102" s="76">
        <f>IFERROR('cash flow '!K29,0)</f>
        <v>-1522</v>
      </c>
      <c r="L102" s="76">
        <f>IFERROR('cash flow '!L29,0)</f>
        <v>-2247</v>
      </c>
    </row>
    <row r="103" spans="2:12" x14ac:dyDescent="0.35">
      <c r="B103" s="61" t="s">
        <v>140</v>
      </c>
      <c r="C103" s="76">
        <f>IFERROR('cash flow '!C30,0)</f>
        <v>0</v>
      </c>
      <c r="D103" s="76">
        <f>IFERROR('cash flow '!D30,0)</f>
        <v>0</v>
      </c>
      <c r="E103" s="76">
        <f>IFERROR('cash flow '!E30,0)</f>
        <v>0</v>
      </c>
      <c r="F103" s="76">
        <f>IFERROR('cash flow '!F30,0)</f>
        <v>0</v>
      </c>
      <c r="G103" s="76">
        <f>IFERROR('cash flow '!G30,0)</f>
        <v>0</v>
      </c>
      <c r="H103" s="76">
        <f>IFERROR('cash flow '!H30,0)</f>
        <v>-558</v>
      </c>
      <c r="I103" s="76">
        <f>IFERROR('cash flow '!I30,0)</f>
        <v>-553</v>
      </c>
      <c r="J103" s="76">
        <f>IFERROR('cash flow '!J30,0)</f>
        <v>-583</v>
      </c>
      <c r="K103" s="76">
        <f>IFERROR('cash flow '!K30,0)</f>
        <v>-751</v>
      </c>
      <c r="L103" s="76">
        <f>IFERROR('cash flow '!L30,0)</f>
        <v>-786</v>
      </c>
    </row>
    <row r="104" spans="2:12" ht="15" thickBot="1" x14ac:dyDescent="0.4">
      <c r="B104" s="61" t="s">
        <v>141</v>
      </c>
      <c r="C104" s="76">
        <f>IFERROR('cash flow '!C31,0)</f>
        <v>3355</v>
      </c>
      <c r="D104" s="76">
        <f>IFERROR('cash flow '!D31,0)</f>
        <v>4324</v>
      </c>
      <c r="E104" s="76">
        <f>IFERROR('cash flow '!E31,0)</f>
        <v>7503</v>
      </c>
      <c r="F104" s="76">
        <f>IFERROR('cash flow '!F31,0)</f>
        <v>7794</v>
      </c>
      <c r="G104" s="76">
        <f>IFERROR('cash flow '!G31,0)</f>
        <v>12</v>
      </c>
      <c r="H104" s="76">
        <f>IFERROR('cash flow '!H31,0)</f>
        <v>-304</v>
      </c>
      <c r="I104" s="76">
        <f>IFERROR('cash flow '!I31,0)</f>
        <v>1444</v>
      </c>
      <c r="J104" s="76">
        <f>IFERROR('cash flow '!J31,0)</f>
        <v>-240</v>
      </c>
      <c r="K104" s="76">
        <f>IFERROR('cash flow '!K31,0)</f>
        <v>386</v>
      </c>
      <c r="L104" s="76">
        <f>IFERROR('cash flow '!L31,0)</f>
        <v>1408</v>
      </c>
    </row>
    <row r="105" spans="2:12" x14ac:dyDescent="0.35">
      <c r="B105" s="69" t="s">
        <v>145</v>
      </c>
      <c r="C105" s="76">
        <f>SUM(C98:C104)</f>
        <v>1669</v>
      </c>
      <c r="D105" s="76">
        <f t="shared" ref="D105:L105" si="22">SUM(D98:D104)</f>
        <v>2967</v>
      </c>
      <c r="E105" s="76">
        <f t="shared" si="22"/>
        <v>6108</v>
      </c>
      <c r="F105" s="76">
        <f t="shared" si="22"/>
        <v>6314</v>
      </c>
      <c r="G105" s="76">
        <f t="shared" si="22"/>
        <v>13193</v>
      </c>
      <c r="H105" s="76">
        <f t="shared" si="22"/>
        <v>6933</v>
      </c>
      <c r="I105" s="76">
        <f t="shared" si="22"/>
        <v>407</v>
      </c>
      <c r="J105" s="76">
        <f t="shared" si="22"/>
        <v>-5882</v>
      </c>
      <c r="K105" s="76">
        <f t="shared" si="22"/>
        <v>15946</v>
      </c>
      <c r="L105" s="76">
        <f t="shared" si="22"/>
        <v>12282</v>
      </c>
    </row>
    <row r="107" spans="2:12" x14ac:dyDescent="0.35">
      <c r="B107" s="2" t="s">
        <v>153</v>
      </c>
      <c r="C107" s="82">
        <f>SUM(C81+C95+C105)</f>
        <v>-3541</v>
      </c>
      <c r="D107" s="82">
        <f t="shared" ref="D107:L107" si="23">SUM(D81+D95+D105)</f>
        <v>-8079</v>
      </c>
      <c r="E107" s="82">
        <f t="shared" si="23"/>
        <v>-5897</v>
      </c>
      <c r="F107" s="82">
        <f t="shared" si="23"/>
        <v>-16022</v>
      </c>
      <c r="G107" s="82">
        <f t="shared" si="23"/>
        <v>-2412</v>
      </c>
      <c r="H107" s="82">
        <f t="shared" si="23"/>
        <v>30144</v>
      </c>
      <c r="I107" s="82">
        <f t="shared" si="23"/>
        <v>-9737</v>
      </c>
      <c r="J107" s="82">
        <f t="shared" si="23"/>
        <v>-36149</v>
      </c>
      <c r="K107" s="82">
        <f t="shared" si="23"/>
        <v>-17727</v>
      </c>
      <c r="L107" s="82">
        <f t="shared" si="23"/>
        <v>-4272</v>
      </c>
    </row>
  </sheetData>
  <conditionalFormatting sqref="C68:L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14:D14 M20 M23 M29 E14:L14 M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F7FC-6EE1-4E9B-99CF-26941068602D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Quarters</vt:lpstr>
      <vt:lpstr>Balance Sheet</vt:lpstr>
      <vt:lpstr>Cash Flow</vt:lpstr>
      <vt:lpstr>Data Sheet</vt:lpstr>
      <vt:lpstr>cash flow </vt:lpstr>
      <vt:lpstr>historical sf </vt:lpstr>
      <vt:lpstr>fiancials&gt;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divyansh rathode</cp:lastModifiedBy>
  <cp:lastPrinted>2026-05-05T15:51:46Z</cp:lastPrinted>
  <dcterms:created xsi:type="dcterms:W3CDTF">2012-08-17T09:55:37Z</dcterms:created>
  <dcterms:modified xsi:type="dcterms:W3CDTF">2026-05-09T09:42:35Z</dcterms:modified>
</cp:coreProperties>
</file>