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20F115-9C08-4413-A7CC-BD8E7FC0177A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cash flow " sheetId="5" r:id="rId6"/>
    <sheet name="historical sf " sheetId="8" r:id="rId7"/>
    <sheet name="fiancials&gt;" sheetId="7" r:id="rId8"/>
    <sheet name="data&gt;" sheetId="9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8" i="8" l="1"/>
  <c r="L98" i="8"/>
  <c r="L99" i="8"/>
  <c r="L100" i="8"/>
  <c r="L101" i="8"/>
  <c r="L102" i="8"/>
  <c r="L103" i="8"/>
  <c r="L104" i="8"/>
  <c r="D98" i="8"/>
  <c r="E98" i="8"/>
  <c r="E105" i="8" s="1"/>
  <c r="F98" i="8"/>
  <c r="G98" i="8"/>
  <c r="H98" i="8"/>
  <c r="I98" i="8"/>
  <c r="I105" i="8" s="1"/>
  <c r="J98" i="8"/>
  <c r="K98" i="8"/>
  <c r="D99" i="8"/>
  <c r="E99" i="8"/>
  <c r="F99" i="8"/>
  <c r="G99" i="8"/>
  <c r="H99" i="8"/>
  <c r="I99" i="8"/>
  <c r="J99" i="8"/>
  <c r="K99" i="8"/>
  <c r="D100" i="8"/>
  <c r="E100" i="8"/>
  <c r="F100" i="8"/>
  <c r="G100" i="8"/>
  <c r="H100" i="8"/>
  <c r="I100" i="8"/>
  <c r="J100" i="8"/>
  <c r="K100" i="8"/>
  <c r="D101" i="8"/>
  <c r="E101" i="8"/>
  <c r="F101" i="8"/>
  <c r="G101" i="8"/>
  <c r="H101" i="8"/>
  <c r="I101" i="8"/>
  <c r="J101" i="8"/>
  <c r="K101" i="8"/>
  <c r="D102" i="8"/>
  <c r="E102" i="8"/>
  <c r="F102" i="8"/>
  <c r="G102" i="8"/>
  <c r="H102" i="8"/>
  <c r="I102" i="8"/>
  <c r="J102" i="8"/>
  <c r="K102" i="8"/>
  <c r="D103" i="8"/>
  <c r="E103" i="8"/>
  <c r="F103" i="8"/>
  <c r="G103" i="8"/>
  <c r="H103" i="8"/>
  <c r="I103" i="8"/>
  <c r="J103" i="8"/>
  <c r="K103" i="8"/>
  <c r="D104" i="8"/>
  <c r="E104" i="8"/>
  <c r="F104" i="8"/>
  <c r="G104" i="8"/>
  <c r="H104" i="8"/>
  <c r="I104" i="8"/>
  <c r="J104" i="8"/>
  <c r="K104" i="8"/>
  <c r="C99" i="8"/>
  <c r="C100" i="8"/>
  <c r="C101" i="8"/>
  <c r="C102" i="8"/>
  <c r="C103" i="8"/>
  <c r="C104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F95" i="8" s="1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D92" i="8"/>
  <c r="E92" i="8"/>
  <c r="F92" i="8"/>
  <c r="G92" i="8"/>
  <c r="H92" i="8"/>
  <c r="I92" i="8"/>
  <c r="J92" i="8"/>
  <c r="K92" i="8"/>
  <c r="L92" i="8"/>
  <c r="D93" i="8"/>
  <c r="E93" i="8"/>
  <c r="F93" i="8"/>
  <c r="G93" i="8"/>
  <c r="H93" i="8"/>
  <c r="I93" i="8"/>
  <c r="J93" i="8"/>
  <c r="K93" i="8"/>
  <c r="L93" i="8"/>
  <c r="D94" i="8"/>
  <c r="E94" i="8"/>
  <c r="F94" i="8"/>
  <c r="G94" i="8"/>
  <c r="H94" i="8"/>
  <c r="I94" i="8"/>
  <c r="J94" i="8"/>
  <c r="K94" i="8"/>
  <c r="L94" i="8"/>
  <c r="C94" i="8"/>
  <c r="C85" i="8"/>
  <c r="C86" i="8"/>
  <c r="C87" i="8"/>
  <c r="C88" i="8"/>
  <c r="C89" i="8"/>
  <c r="C90" i="8"/>
  <c r="C91" i="8"/>
  <c r="C92" i="8"/>
  <c r="C93" i="8"/>
  <c r="C84" i="8"/>
  <c r="C9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C74" i="8"/>
  <c r="C75" i="8"/>
  <c r="C76" i="8"/>
  <c r="C77" i="8"/>
  <c r="C78" i="8"/>
  <c r="C79" i="8"/>
  <c r="C80" i="8"/>
  <c r="C73" i="8"/>
  <c r="D58" i="8"/>
  <c r="E58" i="8"/>
  <c r="F58" i="8"/>
  <c r="G58" i="8"/>
  <c r="H58" i="8"/>
  <c r="I58" i="8"/>
  <c r="J58" i="8"/>
  <c r="K58" i="8"/>
  <c r="L58" i="8"/>
  <c r="C58" i="8"/>
  <c r="C61" i="8"/>
  <c r="D61" i="8"/>
  <c r="E61" i="8"/>
  <c r="F61" i="8"/>
  <c r="G61" i="8"/>
  <c r="H61" i="8"/>
  <c r="I61" i="8"/>
  <c r="J61" i="8"/>
  <c r="K61" i="8"/>
  <c r="L61" i="8"/>
  <c r="D62" i="8"/>
  <c r="E62" i="8"/>
  <c r="F62" i="8"/>
  <c r="G62" i="8"/>
  <c r="H62" i="8"/>
  <c r="I62" i="8"/>
  <c r="J62" i="8"/>
  <c r="K62" i="8"/>
  <c r="L62" i="8"/>
  <c r="D63" i="8"/>
  <c r="E63" i="8"/>
  <c r="F63" i="8"/>
  <c r="G63" i="8"/>
  <c r="H63" i="8"/>
  <c r="I63" i="8"/>
  <c r="J63" i="8"/>
  <c r="K63" i="8"/>
  <c r="L63" i="8"/>
  <c r="C62" i="8"/>
  <c r="C63" i="8"/>
  <c r="D53" i="8"/>
  <c r="E53" i="8"/>
  <c r="F53" i="8"/>
  <c r="G53" i="8"/>
  <c r="H53" i="8"/>
  <c r="I53" i="8"/>
  <c r="J53" i="8"/>
  <c r="K53" i="8"/>
  <c r="L53" i="8"/>
  <c r="C53" i="8"/>
  <c r="D55" i="8"/>
  <c r="E55" i="8"/>
  <c r="F55" i="8"/>
  <c r="G55" i="8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D57" i="8"/>
  <c r="E57" i="8"/>
  <c r="F57" i="8"/>
  <c r="G57" i="8"/>
  <c r="H57" i="8"/>
  <c r="I57" i="8"/>
  <c r="J57" i="8"/>
  <c r="K57" i="8"/>
  <c r="L57" i="8"/>
  <c r="C56" i="8"/>
  <c r="C57" i="8"/>
  <c r="C55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D52" i="8"/>
  <c r="E52" i="8"/>
  <c r="F52" i="8"/>
  <c r="G52" i="8"/>
  <c r="H52" i="8"/>
  <c r="I52" i="8"/>
  <c r="J52" i="8"/>
  <c r="K52" i="8"/>
  <c r="L52" i="8"/>
  <c r="C50" i="8"/>
  <c r="C51" i="8"/>
  <c r="C52" i="8"/>
  <c r="C49" i="8"/>
  <c r="C20" i="8"/>
  <c r="D20" i="8"/>
  <c r="E20" i="8"/>
  <c r="F20" i="8"/>
  <c r="G20" i="8"/>
  <c r="H20" i="8"/>
  <c r="I20" i="8"/>
  <c r="J20" i="8"/>
  <c r="K20" i="8"/>
  <c r="L20" i="8"/>
  <c r="M20" i="8"/>
  <c r="D35" i="8"/>
  <c r="D40" i="8" s="1"/>
  <c r="E35" i="8"/>
  <c r="E40" i="8" s="1"/>
  <c r="F35" i="8"/>
  <c r="F40" i="8" s="1"/>
  <c r="G35" i="8"/>
  <c r="G40" i="8" s="1"/>
  <c r="H35" i="8"/>
  <c r="H40" i="8" s="1"/>
  <c r="I35" i="8"/>
  <c r="I40" i="8" s="1"/>
  <c r="J35" i="8"/>
  <c r="J40" i="8" s="1"/>
  <c r="K35" i="8"/>
  <c r="K40" i="8" s="1"/>
  <c r="L35" i="8"/>
  <c r="L40" i="8" s="1"/>
  <c r="M35" i="8"/>
  <c r="M40" i="8" s="1"/>
  <c r="C35" i="8"/>
  <c r="C40" i="8" s="1"/>
  <c r="M23" i="6"/>
  <c r="M14" i="8" s="1"/>
  <c r="L24" i="6"/>
  <c r="L23" i="6"/>
  <c r="L14" i="8"/>
  <c r="M29" i="8"/>
  <c r="D29" i="8"/>
  <c r="E29" i="8"/>
  <c r="F29" i="8"/>
  <c r="G29" i="8"/>
  <c r="H29" i="8"/>
  <c r="I29" i="8"/>
  <c r="J29" i="8"/>
  <c r="K29" i="8"/>
  <c r="L29" i="8"/>
  <c r="C29" i="8"/>
  <c r="M23" i="8"/>
  <c r="D23" i="8"/>
  <c r="E23" i="8"/>
  <c r="F23" i="8"/>
  <c r="G23" i="8"/>
  <c r="H23" i="8"/>
  <c r="I23" i="8"/>
  <c r="J23" i="8"/>
  <c r="K23" i="8"/>
  <c r="L23" i="8"/>
  <c r="C23" i="8"/>
  <c r="D14" i="8"/>
  <c r="E14" i="8"/>
  <c r="F14" i="8"/>
  <c r="G14" i="8"/>
  <c r="H14" i="8"/>
  <c r="I14" i="8"/>
  <c r="J14" i="8"/>
  <c r="K14" i="8"/>
  <c r="C14" i="8"/>
  <c r="M9" i="8"/>
  <c r="D9" i="8"/>
  <c r="E9" i="8"/>
  <c r="F9" i="8"/>
  <c r="G9" i="8"/>
  <c r="H9" i="8"/>
  <c r="I9" i="8"/>
  <c r="J9" i="8"/>
  <c r="K9" i="8"/>
  <c r="L9" i="8"/>
  <c r="D6" i="8"/>
  <c r="M6" i="8"/>
  <c r="M27" i="8" s="1"/>
  <c r="E6" i="8"/>
  <c r="F6" i="8"/>
  <c r="G6" i="8"/>
  <c r="H6" i="8"/>
  <c r="I6" i="8"/>
  <c r="J6" i="8"/>
  <c r="K6" i="8"/>
  <c r="L6" i="8"/>
  <c r="C6" i="8"/>
  <c r="L4" i="8"/>
  <c r="I4" i="8"/>
  <c r="J4" i="8"/>
  <c r="K4" i="8"/>
  <c r="D4" i="8"/>
  <c r="E4" i="8"/>
  <c r="F4" i="8"/>
  <c r="G4" i="8"/>
  <c r="H4" i="8"/>
  <c r="C4" i="8"/>
  <c r="B2" i="8"/>
  <c r="N9" i="8"/>
  <c r="N43" i="8"/>
  <c r="N26" i="8"/>
  <c r="N40" i="8"/>
  <c r="N58" i="8"/>
  <c r="N66" i="8"/>
  <c r="D95" i="8" l="1"/>
  <c r="E95" i="8"/>
  <c r="I95" i="8"/>
  <c r="H95" i="8"/>
  <c r="F105" i="8"/>
  <c r="C95" i="8"/>
  <c r="J95" i="8"/>
  <c r="G95" i="8"/>
  <c r="L105" i="8"/>
  <c r="J105" i="8"/>
  <c r="K95" i="8"/>
  <c r="D105" i="8"/>
  <c r="C105" i="8"/>
  <c r="L95" i="8"/>
  <c r="H105" i="8"/>
  <c r="G105" i="8"/>
  <c r="K105" i="8"/>
  <c r="D7" i="8"/>
  <c r="G81" i="8"/>
  <c r="F81" i="8"/>
  <c r="H81" i="8"/>
  <c r="E59" i="8"/>
  <c r="I81" i="8"/>
  <c r="I107" i="8" s="1"/>
  <c r="E81" i="8"/>
  <c r="E107" i="8" s="1"/>
  <c r="L81" i="8"/>
  <c r="L107" i="8" s="1"/>
  <c r="D81" i="8"/>
  <c r="C81" i="8"/>
  <c r="K81" i="8"/>
  <c r="J81" i="8"/>
  <c r="J64" i="8"/>
  <c r="C59" i="8"/>
  <c r="I64" i="8"/>
  <c r="C64" i="8"/>
  <c r="G59" i="8"/>
  <c r="L64" i="8"/>
  <c r="D64" i="8"/>
  <c r="F64" i="8"/>
  <c r="D59" i="8"/>
  <c r="F59" i="8"/>
  <c r="E64" i="8"/>
  <c r="K59" i="8"/>
  <c r="J59" i="8"/>
  <c r="H64" i="8"/>
  <c r="L59" i="8"/>
  <c r="K64" i="8"/>
  <c r="I59" i="8"/>
  <c r="H59" i="8"/>
  <c r="G64" i="8"/>
  <c r="E24" i="8"/>
  <c r="M37" i="8"/>
  <c r="M43" i="8" s="1"/>
  <c r="C24" i="8"/>
  <c r="J30" i="8"/>
  <c r="C15" i="8"/>
  <c r="F7" i="8"/>
  <c r="J15" i="8"/>
  <c r="J24" i="8"/>
  <c r="E30" i="8"/>
  <c r="I24" i="8"/>
  <c r="I15" i="8"/>
  <c r="I7" i="8"/>
  <c r="L15" i="8"/>
  <c r="K21" i="8"/>
  <c r="E15" i="8"/>
  <c r="C12" i="8"/>
  <c r="C17" i="8" s="1"/>
  <c r="E10" i="8"/>
  <c r="G15" i="8"/>
  <c r="H12" i="8"/>
  <c r="H17" i="8" s="1"/>
  <c r="L10" i="8"/>
  <c r="D10" i="8"/>
  <c r="G12" i="8"/>
  <c r="G17" i="8" s="1"/>
  <c r="E21" i="8"/>
  <c r="D30" i="8"/>
  <c r="L30" i="8"/>
  <c r="M7" i="8"/>
  <c r="K10" i="8"/>
  <c r="H15" i="8"/>
  <c r="L21" i="8"/>
  <c r="D21" i="8"/>
  <c r="K30" i="8"/>
  <c r="M30" i="8"/>
  <c r="J12" i="8"/>
  <c r="J17" i="8" s="1"/>
  <c r="I10" i="8"/>
  <c r="M10" i="8"/>
  <c r="F15" i="8"/>
  <c r="F24" i="8"/>
  <c r="I30" i="8"/>
  <c r="D12" i="8"/>
  <c r="D17" i="8" s="1"/>
  <c r="F12" i="8"/>
  <c r="F17" i="8" s="1"/>
  <c r="L7" i="8"/>
  <c r="I21" i="8"/>
  <c r="H30" i="8"/>
  <c r="F21" i="8"/>
  <c r="E7" i="8"/>
  <c r="D15" i="8"/>
  <c r="L24" i="8"/>
  <c r="D24" i="8"/>
  <c r="G30" i="8"/>
  <c r="C21" i="8"/>
  <c r="G7" i="8"/>
  <c r="C10" i="8"/>
  <c r="K15" i="8"/>
  <c r="G21" i="8"/>
  <c r="K24" i="8"/>
  <c r="F30" i="8"/>
  <c r="K7" i="8"/>
  <c r="M12" i="8"/>
  <c r="E12" i="8"/>
  <c r="E17" i="8" s="1"/>
  <c r="M15" i="8"/>
  <c r="H24" i="8"/>
  <c r="J7" i="8"/>
  <c r="G10" i="8"/>
  <c r="J10" i="8"/>
  <c r="L12" i="8"/>
  <c r="L17" i="8" s="1"/>
  <c r="J21" i="8"/>
  <c r="G24" i="8"/>
  <c r="C30" i="8"/>
  <c r="K12" i="8"/>
  <c r="K17" i="8" s="1"/>
  <c r="H7" i="8"/>
  <c r="H10" i="8"/>
  <c r="M18" i="8"/>
  <c r="H21" i="8"/>
  <c r="I12" i="8"/>
  <c r="I17" i="8" s="1"/>
  <c r="M21" i="8"/>
  <c r="F10" i="8"/>
  <c r="M24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K23" i="2" s="1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F14" i="3" s="1"/>
  <c r="G4" i="3"/>
  <c r="G14" i="3" s="1"/>
  <c r="H4" i="3"/>
  <c r="H14" i="3" s="1"/>
  <c r="I4" i="3"/>
  <c r="J4" i="3"/>
  <c r="J14" i="3" s="1"/>
  <c r="K4" i="3"/>
  <c r="K14" i="3" s="1"/>
  <c r="C5" i="3"/>
  <c r="D5" i="3"/>
  <c r="E5" i="3"/>
  <c r="F5" i="3"/>
  <c r="G5" i="3"/>
  <c r="H5" i="3"/>
  <c r="I5" i="3"/>
  <c r="L5" i="1" s="1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F4" i="1"/>
  <c r="G4" i="1"/>
  <c r="G21" i="2" s="1"/>
  <c r="H4" i="1"/>
  <c r="H21" i="2" s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A1" i="3" s="1"/>
  <c r="E1" i="6"/>
  <c r="H1" i="1" s="1"/>
  <c r="E6" i="1"/>
  <c r="E19" i="1" s="1"/>
  <c r="H23" i="2"/>
  <c r="I6" i="1"/>
  <c r="I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E21" i="2"/>
  <c r="C21" i="2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I14" i="3"/>
  <c r="J20" i="2"/>
  <c r="E20" i="2"/>
  <c r="L6" i="1"/>
  <c r="J107" i="8" l="1"/>
  <c r="K107" i="8"/>
  <c r="F107" i="8"/>
  <c r="C107" i="8"/>
  <c r="G107" i="8"/>
  <c r="H107" i="8"/>
  <c r="D107" i="8"/>
  <c r="G20" i="2"/>
  <c r="B14" i="3"/>
  <c r="D23" i="2"/>
  <c r="J6" i="1"/>
  <c r="J19" i="1" s="1"/>
  <c r="F16" i="2"/>
  <c r="K16" i="2"/>
  <c r="C16" i="2"/>
  <c r="C66" i="8"/>
  <c r="C68" i="8" s="1"/>
  <c r="L4" i="1"/>
  <c r="B21" i="2"/>
  <c r="G6" i="1"/>
  <c r="G19" i="1" s="1"/>
  <c r="C14" i="1"/>
  <c r="D14" i="3"/>
  <c r="E66" i="8"/>
  <c r="E68" i="8" s="1"/>
  <c r="G14" i="1"/>
  <c r="F20" i="2"/>
  <c r="I13" i="1"/>
  <c r="I14" i="1"/>
  <c r="G23" i="2"/>
  <c r="L12" i="1"/>
  <c r="L13" i="1" s="1"/>
  <c r="K20" i="2"/>
  <c r="L11" i="1"/>
  <c r="D16" i="2"/>
  <c r="J66" i="8"/>
  <c r="J68" i="8" s="1"/>
  <c r="F66" i="8"/>
  <c r="F68" i="8" s="1"/>
  <c r="G66" i="8"/>
  <c r="G68" i="8" s="1"/>
  <c r="I66" i="8"/>
  <c r="I68" i="8" s="1"/>
  <c r="H66" i="8"/>
  <c r="H68" i="8" s="1"/>
  <c r="D66" i="8"/>
  <c r="D68" i="8" s="1"/>
  <c r="L66" i="8"/>
  <c r="L68" i="8" s="1"/>
  <c r="K66" i="8"/>
  <c r="K68" i="8" s="1"/>
  <c r="F18" i="8"/>
  <c r="F26" i="8"/>
  <c r="C18" i="8"/>
  <c r="C26" i="8"/>
  <c r="K24" i="2"/>
  <c r="D18" i="8"/>
  <c r="D26" i="8"/>
  <c r="L23" i="1"/>
  <c r="H14" i="1"/>
  <c r="G18" i="8"/>
  <c r="G26" i="8"/>
  <c r="A1" i="2"/>
  <c r="A1" i="4" s="1"/>
  <c r="K18" i="8"/>
  <c r="K26" i="8"/>
  <c r="J21" i="2"/>
  <c r="F14" i="1"/>
  <c r="L14" i="1"/>
  <c r="L25" i="1" s="1"/>
  <c r="E18" i="8"/>
  <c r="E26" i="8"/>
  <c r="H18" i="8"/>
  <c r="H26" i="8"/>
  <c r="C23" i="2"/>
  <c r="G24" i="2"/>
  <c r="I18" i="8"/>
  <c r="I26" i="8"/>
  <c r="E1" i="3"/>
  <c r="K14" i="1"/>
  <c r="L10" i="1"/>
  <c r="M11" i="1" s="1"/>
  <c r="L18" i="8"/>
  <c r="L26" i="8"/>
  <c r="J18" i="8"/>
  <c r="J26" i="8"/>
  <c r="J14" i="1"/>
  <c r="F23" i="2"/>
  <c r="L19" i="1"/>
  <c r="L24" i="1" s="1"/>
  <c r="H23" i="1"/>
  <c r="B16" i="2"/>
  <c r="G16" i="2"/>
  <c r="E24" i="2"/>
  <c r="B14" i="1"/>
  <c r="C20" i="2"/>
  <c r="E14" i="1"/>
  <c r="J24" i="2"/>
  <c r="D24" i="2"/>
  <c r="I24" i="2"/>
  <c r="H24" i="2"/>
  <c r="D13" i="1"/>
  <c r="E13" i="1" s="1"/>
  <c r="K25" i="1"/>
  <c r="M25" i="1" s="1"/>
  <c r="M14" i="1" s="1"/>
  <c r="D21" i="2"/>
  <c r="K6" i="1"/>
  <c r="K19" i="1" s="1"/>
  <c r="K24" i="1" s="1"/>
  <c r="M24" i="1" s="1"/>
  <c r="I23" i="1"/>
  <c r="B6" i="1"/>
  <c r="B19" i="1" s="1"/>
  <c r="L9" i="1"/>
  <c r="N9" i="1" s="1"/>
  <c r="L8" i="1"/>
  <c r="M8" i="1" s="1"/>
  <c r="L7" i="1"/>
  <c r="E16" i="2"/>
  <c r="J23" i="2"/>
  <c r="D14" i="1"/>
  <c r="H25" i="1" s="1"/>
  <c r="C24" i="2"/>
  <c r="J23" i="1"/>
  <c r="B23" i="2"/>
  <c r="D20" i="2"/>
  <c r="E1" i="2"/>
  <c r="F24" i="2"/>
  <c r="J25" i="1"/>
  <c r="M9" i="1"/>
  <c r="I25" i="1"/>
  <c r="I20" i="2"/>
  <c r="H20" i="2"/>
  <c r="K23" i="1"/>
  <c r="M23" i="1" s="1"/>
  <c r="M4" i="1" s="1"/>
  <c r="H6" i="1"/>
  <c r="H19" i="1" s="1"/>
  <c r="J24" i="1" s="1"/>
  <c r="F6" i="1"/>
  <c r="F19" i="1" s="1"/>
  <c r="I24" i="1" s="1"/>
  <c r="E1" i="4"/>
  <c r="N8" i="1" l="1"/>
  <c r="N11" i="1"/>
  <c r="N25" i="1"/>
  <c r="N14" i="1" s="1"/>
  <c r="J32" i="8"/>
  <c r="J27" i="8"/>
  <c r="D27" i="8"/>
  <c r="D32" i="8"/>
  <c r="N23" i="1"/>
  <c r="N4" i="1" s="1"/>
  <c r="L27" i="8"/>
  <c r="L32" i="8"/>
  <c r="K27" i="8"/>
  <c r="K32" i="8"/>
  <c r="H24" i="1"/>
  <c r="N24" i="1" s="1"/>
  <c r="N6" i="1" s="1"/>
  <c r="H27" i="8"/>
  <c r="H32" i="8"/>
  <c r="C27" i="8"/>
  <c r="C32" i="8"/>
  <c r="E27" i="8"/>
  <c r="E32" i="8"/>
  <c r="G27" i="8"/>
  <c r="G32" i="8"/>
  <c r="F32" i="8"/>
  <c r="F27" i="8"/>
  <c r="I32" i="8"/>
  <c r="I27" i="8"/>
  <c r="M6" i="1"/>
  <c r="M10" i="1" s="1"/>
  <c r="M12" i="1" s="1"/>
  <c r="M13" i="1" s="1"/>
  <c r="M15" i="1" s="1"/>
  <c r="L33" i="8" l="1"/>
  <c r="L37" i="8"/>
  <c r="G37" i="8"/>
  <c r="G33" i="8"/>
  <c r="C37" i="8"/>
  <c r="C33" i="8"/>
  <c r="I37" i="8"/>
  <c r="I33" i="8"/>
  <c r="H33" i="8"/>
  <c r="H37" i="8"/>
  <c r="D37" i="8"/>
  <c r="D33" i="8"/>
  <c r="F37" i="8"/>
  <c r="F33" i="8"/>
  <c r="K33" i="8"/>
  <c r="K37" i="8"/>
  <c r="J37" i="8"/>
  <c r="J33" i="8"/>
  <c r="E37" i="8"/>
  <c r="E33" i="8"/>
  <c r="N10" i="1"/>
  <c r="N12" i="1" s="1"/>
  <c r="N13" i="1" s="1"/>
  <c r="N15" i="1" s="1"/>
  <c r="N5" i="1"/>
  <c r="M5" i="1"/>
  <c r="I38" i="8" l="1"/>
  <c r="I41" i="8"/>
  <c r="I43" i="8" s="1"/>
  <c r="K38" i="8"/>
  <c r="K41" i="8"/>
  <c r="K43" i="8" s="1"/>
  <c r="F38" i="8"/>
  <c r="F41" i="8"/>
  <c r="F43" i="8" s="1"/>
  <c r="C41" i="8"/>
  <c r="C43" i="8" s="1"/>
  <c r="E38" i="8"/>
  <c r="E41" i="8"/>
  <c r="E43" i="8" s="1"/>
  <c r="D38" i="8"/>
  <c r="D41" i="8"/>
  <c r="D43" i="8" s="1"/>
  <c r="G38" i="8"/>
  <c r="G41" i="8"/>
  <c r="G43" i="8" s="1"/>
  <c r="H38" i="8"/>
  <c r="H43" i="8"/>
  <c r="H41" i="8"/>
  <c r="L38" i="8"/>
  <c r="L41" i="8"/>
  <c r="L43" i="8" s="1"/>
  <c r="J38" i="8"/>
  <c r="J41" i="8"/>
  <c r="J43" i="8" s="1"/>
</calcChain>
</file>

<file path=xl/sharedStrings.xml><?xml version="1.0" encoding="utf-8"?>
<sst xmlns="http://schemas.openxmlformats.org/spreadsheetml/2006/main" count="249" uniqueCount="155">
  <si>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</si>
  <si>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</si>
  <si>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</si>
  <si>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</si>
  <si>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</si>
  <si>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</si>
  <si>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</si>
  <si>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</si>
  <si>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</si>
  <si>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</si>
  <si>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</si>
  <si>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</si>
  <si>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</si>
  <si>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</si>
  <si>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</si>
  <si>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</si>
  <si>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</si>
  <si>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</si>
  <si>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</si>
  <si>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</si>
  <si>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</si>
  <si>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</si>
  <si>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</si>
  <si>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</si>
  <si>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</si>
  <si>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</si>
  <si>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</si>
  <si>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</si>
  <si>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</si>
  <si>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</si>
  <si>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</si>
  <si>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</si>
  <si>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</si>
  <si>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</si>
  <si>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</si>
  <si>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</si>
  <si>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</si>
  <si>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</si>
  <si>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</si>
  <si>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</si>
  <si>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</si>
  <si>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</si>
  <si>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</si>
  <si>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</si>
  <si>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</si>
  <si>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</si>
  <si>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</si>
  <si>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</si>
  <si>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</si>
  <si>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</si>
  <si>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</si>
  <si>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</si>
  <si>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</si>
  <si>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</si>
  <si>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</si>
  <si>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</si>
  <si>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</si>
  <si>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</si>
  <si>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</si>
  <si>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</si>
  <si>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</si>
  <si>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</si>
  <si>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</si>
  <si>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</si>
  <si>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</si>
  <si>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</si>
  <si>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</si>
  <si>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</si>
  <si>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</si>
  <si>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</si>
  <si>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</si>
  <si>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</si>
  <si>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</si>
  <si>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</si>
  <si>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</si>
  <si>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</si>
  <si>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</si>
  <si>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</si>
  <si>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</si>
  <si>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</si>
  <si>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</si>
  <si>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</si>
  <si>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</si>
  <si>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 xml:space="preserve">sales </t>
  </si>
  <si>
    <t>ltm</t>
  </si>
  <si>
    <t xml:space="preserve">sales growth </t>
  </si>
  <si>
    <t>-</t>
  </si>
  <si>
    <t>COGS</t>
  </si>
  <si>
    <t xml:space="preserve">COGS % sales </t>
  </si>
  <si>
    <t xml:space="preserve">gross profit </t>
  </si>
  <si>
    <t xml:space="preserve">selling and gernal expnences </t>
  </si>
  <si>
    <t xml:space="preserve">s&amp;g exp % sales </t>
  </si>
  <si>
    <t>EBITA</t>
  </si>
  <si>
    <t xml:space="preserve">ebit % sales </t>
  </si>
  <si>
    <t xml:space="preserve">Interest </t>
  </si>
  <si>
    <t xml:space="preserve">interest % sales </t>
  </si>
  <si>
    <t xml:space="preserve">Depreciation % sales </t>
  </si>
  <si>
    <t xml:space="preserve">effective tax rate  </t>
  </si>
  <si>
    <t xml:space="preserve">Net profit </t>
  </si>
  <si>
    <t xml:space="preserve">Tax </t>
  </si>
  <si>
    <t>Earning before Tax</t>
  </si>
  <si>
    <t>EBT % sales</t>
  </si>
  <si>
    <t xml:space="preserve">Net margin </t>
  </si>
  <si>
    <t xml:space="preserve">No. of equity shares </t>
  </si>
  <si>
    <t xml:space="preserve">Earnings Per Shares </t>
  </si>
  <si>
    <t xml:space="preserve">dividend per share </t>
  </si>
  <si>
    <t xml:space="preserve">EPS Growh </t>
  </si>
  <si>
    <t xml:space="preserve">Retained Earning </t>
  </si>
  <si>
    <t xml:space="preserve">dividend payout ratio </t>
  </si>
  <si>
    <t>#</t>
  </si>
  <si>
    <t xml:space="preserve">Balance Sheet as on </t>
  </si>
  <si>
    <t xml:space="preserve">Total Liabilities  </t>
  </si>
  <si>
    <t xml:space="preserve">Net Assets </t>
  </si>
  <si>
    <t xml:space="preserve">Total Current Asstes </t>
  </si>
  <si>
    <t xml:space="preserve">Total asstes </t>
  </si>
  <si>
    <t>check</t>
  </si>
  <si>
    <t>Total Non Current Assets</t>
  </si>
  <si>
    <t xml:space="preserve">cash flow from operating activity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</si>
  <si>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</si>
  <si>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</si>
  <si>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</si>
  <si>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</si>
  <si>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</si>
  <si>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</si>
  <si>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</si>
  <si>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</si>
  <si>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</si>
  <si>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</si>
  <si>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</si>
  <si>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</si>
  <si>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</si>
  <si>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</si>
  <si>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</si>
  <si>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</si>
  <si>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</si>
  <si>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</si>
  <si>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</si>
  <si>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</si>
  <si>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</si>
  <si>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</si>
  <si>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</si>
  <si>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</si>
  <si>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</si>
  <si>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</si>
  <si>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r>
      <t>Cash from Investing Activity </t>
    </r>
    <r>
      <rPr>
        <b/>
        <sz val="11"/>
        <color rgb="FF665EFD"/>
        <rFont val="Arial"/>
        <family val="2"/>
      </rPr>
      <t>-</t>
    </r>
  </si>
  <si>
    <r>
      <t>Cash from Financing Activity </t>
    </r>
    <r>
      <rPr>
        <b/>
        <sz val="11"/>
        <color rgb="FF665EFD"/>
        <rFont val="Arial"/>
        <family val="2"/>
      </rPr>
      <t>-</t>
    </r>
  </si>
  <si>
    <t>Cash from Operating Activity -</t>
  </si>
  <si>
    <t>Operating Activity -</t>
  </si>
  <si>
    <t>Investing Activity</t>
  </si>
  <si>
    <t xml:space="preserve"> Financing Activity</t>
  </si>
  <si>
    <t xml:space="preserve">Net Cash Flow </t>
  </si>
  <si>
    <t>Cash from Operating Activity -</t>
  </si>
  <si>
    <t>Cash from Investing Activity -</t>
  </si>
  <si>
    <t>Invest in subsidiaries</t>
  </si>
  <si>
    <t>Cash from Financing Activity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</si>
</sst>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7" formatCode="&quot;₹&quot;\ #,##0.00;&quot;₹&quot;\ \-#,##0.00"/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mmm\-yy;@"/>
    <numFmt numFmtId="165" formatCode="[$-409]mmmm\-yy;@"/>
    <numFmt numFmtId="166" formatCode="[$₹-4009]\ #,##0.00"/>
    <numFmt numFmtId="167" formatCode="_ [$₹-4009]\ * #,##0.00_ ;_ [$₹-4009]\ * \-#,##0.00_ ;_ [$₹-4009]\ * &quot;-&quot;??_ ;_ @_ "/>
    <numFmt numFmtId="168" formatCode="[$₹-4009]\ #,##0.000;[Red][$₹-4009]\ #,##0.000"/>
    <numFmt numFmtId="169" formatCode="&quot;₹&quot;\ #,##0.00"/>
    <numFmt numFmtId="170" formatCode="&quot;₹&quot;\ #,##0.000;[Red]&quot;₹&quot;\ \-#,##0.000"/>
    <numFmt numFmtId="171" formatCode="&quot;₹&quot;\ #,##0.00;[Red]&quot;₹&quot;\ #,##0.00"/>
    <numFmt numFmtId="172" formatCode="&quot;₹&quot;\ #,##0.000;&quot;₹&quot;\ \-#,##0.000"/>
    <numFmt numFmtId="173" formatCode="&quot;₹&quot;\ #,##0.000;[Red]&quot;₹&quot;\ #,##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22222F"/>
      <name val="Arial"/>
      <family val="2"/>
    </font>
    <font>
      <b/>
      <sz val="11"/>
      <color rgb="FF665EF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rgb="FFDBE4F0"/>
      </top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2">
    <xf numFmtId="0" fontId="0" fillId="0" borderId="0" xfId="0"/>
    <xf numFmtId="43" fontId="1" fillId="0" borderId="0" xfId="1" applyFont="1" applyBorder="1"/>
    <xf numFmtId="0" fontId="1" fillId="0" borderId="0" xfId="0" applyFont="1"/>
    <xf numFmtId="0" fontId="7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 applyBorder="1"/>
    <xf numFmtId="164" fontId="8" fillId="0" borderId="0" xfId="1" applyNumberFormat="1" applyFont="1" applyFill="1" applyBorder="1"/>
    <xf numFmtId="0" fontId="6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2" fillId="7" borderId="0" xfId="0" applyFont="1" applyFill="1"/>
    <xf numFmtId="0" fontId="0" fillId="0" borderId="0" xfId="0" applyAlignment="1">
      <alignment horizontal="right"/>
    </xf>
    <xf numFmtId="0" fontId="9" fillId="6" borderId="0" xfId="0" applyFont="1" applyFill="1"/>
    <xf numFmtId="10" fontId="9" fillId="6" borderId="0" xfId="0" applyNumberFormat="1" applyFont="1" applyFill="1"/>
    <xf numFmtId="43" fontId="10" fillId="0" borderId="0" xfId="1" applyFont="1" applyBorder="1"/>
    <xf numFmtId="0" fontId="9" fillId="6" borderId="0" xfId="0" applyFont="1" applyFill="1" applyAlignment="1">
      <alignment horizontal="right"/>
    </xf>
    <xf numFmtId="0" fontId="9" fillId="0" borderId="0" xfId="0" applyFont="1"/>
    <xf numFmtId="10" fontId="11" fillId="0" borderId="0" xfId="6" applyNumberFormat="1" applyFont="1"/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166" fontId="0" fillId="0" borderId="2" xfId="0" applyNumberFormat="1" applyBorder="1"/>
    <xf numFmtId="0" fontId="8" fillId="0" borderId="0" xfId="6" applyNumberFormat="1" applyFont="1"/>
    <xf numFmtId="0" fontId="0" fillId="0" borderId="3" xfId="0" applyBorder="1"/>
    <xf numFmtId="8" fontId="0" fillId="0" borderId="0" xfId="7" applyNumberFormat="1" applyFont="1"/>
    <xf numFmtId="168" fontId="0" fillId="0" borderId="0" xfId="7" applyNumberFormat="1" applyFont="1"/>
    <xf numFmtId="8" fontId="0" fillId="0" borderId="0" xfId="0" applyNumberFormat="1"/>
    <xf numFmtId="8" fontId="8" fillId="0" borderId="0" xfId="6" applyNumberFormat="1" applyFont="1"/>
    <xf numFmtId="8" fontId="9" fillId="0" borderId="0" xfId="0" applyNumberFormat="1" applyFont="1" applyAlignment="1">
      <alignment horizontal="right"/>
    </xf>
    <xf numFmtId="8" fontId="0" fillId="0" borderId="3" xfId="0" applyNumberFormat="1" applyBorder="1"/>
    <xf numFmtId="0" fontId="0" fillId="0" borderId="0" xfId="7" applyNumberFormat="1" applyFont="1"/>
    <xf numFmtId="9" fontId="0" fillId="0" borderId="0" xfId="6" applyFont="1"/>
    <xf numFmtId="0" fontId="2" fillId="6" borderId="0" xfId="0" applyFont="1" applyFill="1"/>
    <xf numFmtId="8" fontId="3" fillId="0" borderId="0" xfId="1" applyNumberFormat="1" applyFont="1" applyBorder="1"/>
    <xf numFmtId="8" fontId="1" fillId="0" borderId="0" xfId="1" applyNumberFormat="1" applyFont="1" applyBorder="1"/>
    <xf numFmtId="8" fontId="1" fillId="0" borderId="0" xfId="0" applyNumberFormat="1" applyFont="1"/>
    <xf numFmtId="8" fontId="0" fillId="0" borderId="0" xfId="1" applyNumberFormat="1" applyFont="1" applyBorder="1"/>
    <xf numFmtId="43" fontId="1" fillId="0" borderId="0" xfId="1" applyFont="1" applyBorder="1" applyAlignment="1">
      <alignment horizontal="left" vertical="top"/>
    </xf>
    <xf numFmtId="167" fontId="0" fillId="0" borderId="0" xfId="0" applyNumberFormat="1"/>
    <xf numFmtId="167" fontId="1" fillId="0" borderId="0" xfId="0" applyNumberFormat="1" applyFont="1"/>
    <xf numFmtId="43" fontId="1" fillId="0" borderId="0" xfId="1" applyFont="1" applyFill="1" applyBorder="1"/>
    <xf numFmtId="169" fontId="1" fillId="0" borderId="0" xfId="1" applyNumberFormat="1" applyFont="1" applyFill="1" applyBorder="1"/>
    <xf numFmtId="169" fontId="1" fillId="0" borderId="0" xfId="0" applyNumberFormat="1" applyFont="1"/>
    <xf numFmtId="0" fontId="0" fillId="8" borderId="0" xfId="0" applyFill="1"/>
    <xf numFmtId="17" fontId="12" fillId="9" borderId="0" xfId="0" applyNumberFormat="1" applyFont="1" applyFill="1" applyAlignment="1">
      <alignment horizontal="right" vertical="center" wrapText="1"/>
    </xf>
    <xf numFmtId="0" fontId="13" fillId="10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left" vertical="center" indent="1"/>
    </xf>
    <xf numFmtId="170" fontId="13" fillId="10" borderId="0" xfId="0" applyNumberFormat="1" applyFont="1" applyFill="1" applyAlignment="1">
      <alignment horizontal="right" vertical="center" wrapText="1"/>
    </xf>
    <xf numFmtId="170" fontId="13" fillId="9" borderId="0" xfId="0" applyNumberFormat="1" applyFont="1" applyFill="1" applyAlignment="1">
      <alignment horizontal="right" vertical="center" wrapText="1"/>
    </xf>
    <xf numFmtId="170" fontId="14" fillId="10" borderId="0" xfId="0" applyNumberFormat="1" applyFont="1" applyFill="1" applyAlignment="1">
      <alignment horizontal="right" vertical="center" wrapText="1"/>
    </xf>
    <xf numFmtId="170" fontId="14" fillId="9" borderId="0" xfId="0" applyNumberFormat="1" applyFont="1" applyFill="1" applyAlignment="1">
      <alignment horizontal="right" vertical="center" wrapText="1"/>
    </xf>
    <xf numFmtId="0" fontId="15" fillId="10" borderId="4" xfId="0" applyFont="1" applyFill="1" applyBorder="1" applyAlignment="1">
      <alignment horizontal="left" vertical="center" indent="1"/>
    </xf>
    <xf numFmtId="0" fontId="15" fillId="9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170" fontId="13" fillId="10" borderId="4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 indent="1"/>
    </xf>
    <xf numFmtId="170" fontId="13" fillId="9" borderId="4" xfId="0" applyNumberFormat="1" applyFont="1" applyFill="1" applyBorder="1" applyAlignment="1">
      <alignment horizontal="right" vertical="center" wrapText="1"/>
    </xf>
    <xf numFmtId="171" fontId="0" fillId="0" borderId="0" xfId="0" applyNumberFormat="1"/>
    <xf numFmtId="7" fontId="1" fillId="0" borderId="0" xfId="0" applyNumberFormat="1" applyFont="1"/>
    <xf numFmtId="0" fontId="2" fillId="11" borderId="0" xfId="0" applyFont="1" applyFill="1"/>
    <xf numFmtId="165" fontId="2" fillId="11" borderId="0" xfId="0" applyNumberFormat="1" applyFont="1" applyFill="1"/>
    <xf numFmtId="0" fontId="2" fillId="11" borderId="0" xfId="0" applyFont="1" applyFill="1" applyAlignment="1">
      <alignment horizontal="right"/>
    </xf>
    <xf numFmtId="173" fontId="0" fillId="0" borderId="0" xfId="0" applyNumberFormat="1"/>
    <xf numFmtId="172" fontId="1" fillId="0" borderId="0" xfId="0" applyNumberFormat="1" applyFo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7" fontId="0" fillId="0" borderId="0" xfId="0" applyNumberFormat="1"/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urrency" xfId="7" builtinId="4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E38B834F-1D44-4C2E-8C3A-45865C40E4DF}"/>
  </tableStyles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736A3F-53A3-4420-8775-A12B3E0EF07D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ITC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79808.72</v>
      </c>
      <c r="M4" s="1">
        <f>$K4+M23*K4</f>
        <v>83518.968378580088</v>
      </c>
      <c r="N4" s="1">
        <f>$K4+N23*L4</f>
        <v>81303.230401530862</v>
      </c>
    </row>
    <row r="5" spans="1:14" x14ac:dyDescent="0.35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>
        <f>SUM(Quarters!H5:K5)</f>
        <v>52895.65</v>
      </c>
      <c r="M5" s="6">
        <f t="shared" ref="M5:N5" si="0">M4-M6</f>
        <v>53597.013652967857</v>
      </c>
      <c r="N5" s="6">
        <f t="shared" si="0"/>
        <v>53886.182101263315</v>
      </c>
    </row>
    <row r="6" spans="1:14" s="2" customFormat="1" x14ac:dyDescent="0.35">
      <c r="A6" s="2" t="s">
        <v>8</v>
      </c>
      <c r="B6" s="1">
        <f>B4-B5</f>
        <v>14531.490000000002</v>
      </c>
      <c r="C6" s="1">
        <f t="shared" ref="C6:K6" si="1">C4-C5</f>
        <v>15469.509999999998</v>
      </c>
      <c r="D6" s="1">
        <f t="shared" si="1"/>
        <v>16520.590000000004</v>
      </c>
      <c r="E6" s="1">
        <f t="shared" si="1"/>
        <v>18537.390000000003</v>
      </c>
      <c r="F6" s="1">
        <f t="shared" si="1"/>
        <v>19343.539999999997</v>
      </c>
      <c r="G6" s="1">
        <f t="shared" si="1"/>
        <v>17064.779999999995</v>
      </c>
      <c r="H6" s="1">
        <f t="shared" si="1"/>
        <v>20623.150000000001</v>
      </c>
      <c r="I6" s="1">
        <f t="shared" si="1"/>
        <v>25704.259999999995</v>
      </c>
      <c r="J6" s="1">
        <f t="shared" si="1"/>
        <v>25187.53</v>
      </c>
      <c r="K6" s="1">
        <f t="shared" si="1"/>
        <v>25839.449999999997</v>
      </c>
      <c r="L6" s="1">
        <f>SUM(Quarters!H6:K6)</f>
        <v>26913.07</v>
      </c>
      <c r="M6" s="1">
        <f>M4*M24</f>
        <v>29921.954725612231</v>
      </c>
      <c r="N6" s="1">
        <f>N4*N24</f>
        <v>27417.048300267543</v>
      </c>
    </row>
    <row r="7" spans="1:14" x14ac:dyDescent="0.35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>
        <f>SUM(Quarters!H7:K7)</f>
        <v>17202.939999999999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>
        <f>SUM(Quarters!H8:K8)</f>
        <v>1699.61</v>
      </c>
      <c r="M8" s="6">
        <f>+$L8</f>
        <v>1699.61</v>
      </c>
      <c r="N8" s="6">
        <f>+$L8</f>
        <v>1699.61</v>
      </c>
    </row>
    <row r="9" spans="1:14" x14ac:dyDescent="0.35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>
        <f>SUM(Quarters!H9:K9)</f>
        <v>66.900000000000006</v>
      </c>
      <c r="M9" s="6">
        <f>+$L9</f>
        <v>66.900000000000006</v>
      </c>
      <c r="N9" s="6">
        <f>+$L9</f>
        <v>66.900000000000006</v>
      </c>
    </row>
    <row r="10" spans="1:14" x14ac:dyDescent="0.35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>
        <f>SUM(Quarters!H10:K10)</f>
        <v>42349.5</v>
      </c>
      <c r="M10" s="6">
        <f>M6+M7-SUM(M8:M9)</f>
        <v>28155.444725612233</v>
      </c>
      <c r="N10" s="6">
        <f>N6+N7-SUM(N8:N9)</f>
        <v>25650.538300267544</v>
      </c>
    </row>
    <row r="11" spans="1:14" x14ac:dyDescent="0.35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>
        <f>SUM(Quarters!H11:K11)</f>
        <v>6993.21</v>
      </c>
      <c r="M11" s="7">
        <f>IF($L10&gt;0,$L11/$L10,0)</f>
        <v>0.16513087521694472</v>
      </c>
      <c r="N11" s="7">
        <f>IF($L10&gt;0,$L11/$L10,0)</f>
        <v>0.16513087521694472</v>
      </c>
    </row>
    <row r="12" spans="1:14" s="2" customFormat="1" x14ac:dyDescent="0.35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35028.870000000003</v>
      </c>
      <c r="M12" s="1">
        <f>M10-M11*M10</f>
        <v>23506.111495949575</v>
      </c>
      <c r="N12" s="1">
        <f>N10-N11*N10</f>
        <v>21414.842460958604</v>
      </c>
    </row>
    <row r="13" spans="1:14" x14ac:dyDescent="0.35">
      <c r="A13" t="s">
        <v>48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>
        <f>IF('Data Sheet'!$B6&gt;0,'Profit &amp; Loss'!L12/'Data Sheet'!$B6,0)</f>
        <v>27.95718814516956</v>
      </c>
      <c r="M13" s="6">
        <f>IF('Data Sheet'!$B6&gt;0,'Profit &amp; Loss'!M12/'Data Sheet'!$B6,0)</f>
        <v>18.76066175282261</v>
      </c>
      <c r="N13" s="6">
        <f>IF('Data Sheet'!$B6&gt;0,'Profit &amp; Loss'!N12/'Data Sheet'!$B6,0)</f>
        <v>17.09158130936526</v>
      </c>
    </row>
    <row r="14" spans="1:14" x14ac:dyDescent="0.35">
      <c r="A14" t="s">
        <v>16</v>
      </c>
      <c r="B14" s="6">
        <f>IF(B15&gt;0,B15/B13,"")</f>
        <v>26.49790200600356</v>
      </c>
      <c r="C14" s="6">
        <f t="shared" ref="C14:K14" si="2">IF(C15&gt;0,C15/C13,"")</f>
        <v>31.019466073955435</v>
      </c>
      <c r="D14" s="6">
        <f t="shared" si="2"/>
        <v>25.932729877918941</v>
      </c>
      <c r="E14" s="6">
        <f t="shared" si="2"/>
        <v>27.125530414148926</v>
      </c>
      <c r="F14" s="6">
        <f t="shared" si="2"/>
        <v>12.925649163771876</v>
      </c>
      <c r="G14" s="6">
        <f t="shared" si="2"/>
        <v>19.155474664525016</v>
      </c>
      <c r="H14" s="6">
        <f t="shared" si="2"/>
        <v>18.995913889045614</v>
      </c>
      <c r="I14" s="6">
        <f t="shared" si="2"/>
        <v>23.279600201337455</v>
      </c>
      <c r="J14" s="6">
        <f t="shared" si="2"/>
        <v>24.502837368601647</v>
      </c>
      <c r="K14" s="6">
        <f t="shared" si="2"/>
        <v>14.757265596692401</v>
      </c>
      <c r="L14" s="6">
        <f t="shared" ref="L14" si="3">IF(L13&gt;0,L15/L13,0)</f>
        <v>10.997171761464186</v>
      </c>
      <c r="M14" s="6">
        <f>M25</f>
        <v>18.384218732023921</v>
      </c>
      <c r="N14" s="6">
        <f>N25</f>
        <v>10.997171761464186</v>
      </c>
    </row>
    <row r="15" spans="1:14" s="2" customFormat="1" x14ac:dyDescent="0.35">
      <c r="A15" s="2" t="s">
        <v>49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307.45</v>
      </c>
      <c r="M15" s="8">
        <f>M13*M14</f>
        <v>344.90010922140618</v>
      </c>
      <c r="N15" s="9">
        <f>N13*N14</f>
        <v>187.95905533412071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 x14ac:dyDescent="0.35">
      <c r="A19" t="s">
        <v>18</v>
      </c>
      <c r="B19" s="5">
        <f t="shared" ref="B19:L19" si="4">IF(B6&gt;0,B6/B4,0)</f>
        <v>0.37077599822413199</v>
      </c>
      <c r="C19" s="5">
        <f t="shared" ref="C19:K19" si="5">IF(C6&gt;0,C6/C4,0)</f>
        <v>0.36171096811605047</v>
      </c>
      <c r="D19" s="5">
        <f t="shared" si="5"/>
        <v>0.38022998950031928</v>
      </c>
      <c r="E19" s="5">
        <f t="shared" si="5"/>
        <v>0.38348264507056129</v>
      </c>
      <c r="F19" s="5">
        <f t="shared" si="5"/>
        <v>0.39166715599228147</v>
      </c>
      <c r="G19" s="5">
        <f t="shared" si="5"/>
        <v>0.34644058919006154</v>
      </c>
      <c r="H19" s="5">
        <f t="shared" si="5"/>
        <v>0.3400660636555245</v>
      </c>
      <c r="I19" s="5">
        <f t="shared" si="5"/>
        <v>0.36244517162741785</v>
      </c>
      <c r="J19" s="5">
        <f t="shared" si="5"/>
        <v>0.37077595605248426</v>
      </c>
      <c r="K19" s="5">
        <f t="shared" si="5"/>
        <v>0.34304705553418102</v>
      </c>
      <c r="L19" s="5">
        <f t="shared" si="4"/>
        <v>0.33721966722433339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>
        <f>IF(ISERROR(MAX(IF(J4=0,"",(K4-J4)/J4),IF(K4=0,"",(L4-K4)/K4))),"",MAX(IF(J4=0,"",(K4-J4)/J4),IF(K4=0,"",(L4-K4)/K4)))</f>
        <v>0.10880596078957842</v>
      </c>
      <c r="M23" s="16">
        <f>MAX(K23:L23)</f>
        <v>0.10880596078957842</v>
      </c>
      <c r="N23" s="16">
        <f>MIN(H23:L23)</f>
        <v>7.4927782346726923E-2</v>
      </c>
    </row>
    <row r="24" spans="1:14" x14ac:dyDescent="0.35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>
        <f>L19</f>
        <v>0.33721966722433339</v>
      </c>
      <c r="M24" s="16">
        <f>MAX(K24:L24)</f>
        <v>0.35826537739283482</v>
      </c>
      <c r="N24" s="16">
        <f>MIN(H24:L24)</f>
        <v>0.33721966722433339</v>
      </c>
    </row>
    <row r="25" spans="1:14" x14ac:dyDescent="0.35">
      <c r="G25" t="s">
        <v>23</v>
      </c>
      <c r="H25" s="6">
        <f>IF(ISERROR(AVERAGEIF(B14:$L14,"&gt;0")),"",AVERAGEIF(B14:$L14,"&gt;0"))</f>
        <v>21.380867365224098</v>
      </c>
      <c r="I25" s="6">
        <f>IF(ISERROR(AVERAGEIF(E14:$L14,"&gt;0")),"",AVERAGEIF(E14:$L14,"&gt;0"))</f>
        <v>18.967430382448391</v>
      </c>
      <c r="J25" s="6">
        <f>IF(ISERROR(AVERAGEIF(G14:$L14,"&gt;0")),"",AVERAGEIF(G14:$L14,"&gt;0"))</f>
        <v>18.61471058027772</v>
      </c>
      <c r="K25" s="6">
        <f>IF(ISERROR(AVERAGEIF(I14:$L14,"&gt;0")),"",AVERAGEIF(I14:$L14,"&gt;0"))</f>
        <v>18.384218732023921</v>
      </c>
      <c r="L25" s="6">
        <f>L14</f>
        <v>10.997171761464186</v>
      </c>
      <c r="M25" s="1">
        <f>MAX(K25:L25)</f>
        <v>18.384218732023921</v>
      </c>
      <c r="N25" s="1">
        <f>MIN(H25:L25)</f>
        <v>10.997171761464186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10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ITC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17774.47</v>
      </c>
      <c r="C4" s="1">
        <f>'Data Sheet'!C42</f>
        <v>17195.240000000002</v>
      </c>
      <c r="D4" s="1">
        <f>'Data Sheet'!D42</f>
        <v>17037.8</v>
      </c>
      <c r="E4" s="1">
        <f>'Data Sheet'!E42</f>
        <v>17777.810000000001</v>
      </c>
      <c r="F4" s="1">
        <f>'Data Sheet'!F42</f>
        <v>19990.36</v>
      </c>
      <c r="G4" s="1">
        <f>'Data Sheet'!G42</f>
        <v>18790.169999999998</v>
      </c>
      <c r="H4" s="1">
        <f>'Data Sheet'!H42</f>
        <v>18765</v>
      </c>
      <c r="I4" s="1">
        <f>'Data Sheet'!I42</f>
        <v>21494.79</v>
      </c>
      <c r="J4" s="1">
        <f>'Data Sheet'!J42</f>
        <v>19501.63</v>
      </c>
      <c r="K4" s="1">
        <f>'Data Sheet'!K42</f>
        <v>20047.3</v>
      </c>
    </row>
    <row r="5" spans="1:11" x14ac:dyDescent="0.35">
      <c r="A5" t="s">
        <v>7</v>
      </c>
      <c r="B5" s="6">
        <f>'Data Sheet'!B43</f>
        <v>11320.23</v>
      </c>
      <c r="C5" s="6">
        <f>'Data Sheet'!C43</f>
        <v>10985.01</v>
      </c>
      <c r="D5" s="6">
        <f>'Data Sheet'!D43</f>
        <v>10735.73</v>
      </c>
      <c r="E5" s="6">
        <f>'Data Sheet'!E43</f>
        <v>11232.97</v>
      </c>
      <c r="F5" s="6">
        <f>'Data Sheet'!F43</f>
        <v>13438.28</v>
      </c>
      <c r="G5" s="6">
        <f>'Data Sheet'!G43</f>
        <v>12428.27</v>
      </c>
      <c r="H5" s="6">
        <f>'Data Sheet'!H43</f>
        <v>12245.61</v>
      </c>
      <c r="I5" s="6">
        <f>'Data Sheet'!I43</f>
        <v>14678.32</v>
      </c>
      <c r="J5" s="6">
        <f>'Data Sheet'!J43</f>
        <v>12806.94</v>
      </c>
      <c r="K5" s="6">
        <f>'Data Sheet'!K43</f>
        <v>13164.78</v>
      </c>
    </row>
    <row r="6" spans="1:11" s="2" customFormat="1" x14ac:dyDescent="0.35">
      <c r="A6" s="2" t="s">
        <v>8</v>
      </c>
      <c r="B6" s="1">
        <f>'Data Sheet'!B50</f>
        <v>6454.24</v>
      </c>
      <c r="C6" s="1">
        <f>'Data Sheet'!C50</f>
        <v>6210.23</v>
      </c>
      <c r="D6" s="1">
        <f>'Data Sheet'!D50</f>
        <v>6302.07</v>
      </c>
      <c r="E6" s="1">
        <f>'Data Sheet'!E50</f>
        <v>6544.84</v>
      </c>
      <c r="F6" s="1">
        <f>'Data Sheet'!F50</f>
        <v>6552.08</v>
      </c>
      <c r="G6" s="1">
        <f>'Data Sheet'!G50</f>
        <v>6361.9</v>
      </c>
      <c r="H6" s="1">
        <f>'Data Sheet'!H50</f>
        <v>6519.39</v>
      </c>
      <c r="I6" s="1">
        <f>'Data Sheet'!I50</f>
        <v>6816.47</v>
      </c>
      <c r="J6" s="1">
        <f>'Data Sheet'!J50</f>
        <v>6694.69</v>
      </c>
      <c r="K6" s="1">
        <f>'Data Sheet'!K50</f>
        <v>6882.52</v>
      </c>
    </row>
    <row r="7" spans="1:11" x14ac:dyDescent="0.35">
      <c r="A7" t="s">
        <v>9</v>
      </c>
      <c r="B7" s="6">
        <f>'Data Sheet'!B44</f>
        <v>673.5</v>
      </c>
      <c r="C7" s="6">
        <f>'Data Sheet'!C44</f>
        <v>820.26</v>
      </c>
      <c r="D7" s="6">
        <f>'Data Sheet'!D44</f>
        <v>868</v>
      </c>
      <c r="E7" s="6">
        <f>'Data Sheet'!E44</f>
        <v>771.13</v>
      </c>
      <c r="F7" s="6">
        <f>'Data Sheet'!F44</f>
        <v>690.31</v>
      </c>
      <c r="G7" s="6">
        <f>'Data Sheet'!G44</f>
        <v>803.4</v>
      </c>
      <c r="H7" s="6">
        <f>'Data Sheet'!H44</f>
        <v>15391.28</v>
      </c>
      <c r="I7" s="6">
        <f>'Data Sheet'!I44</f>
        <v>750.97</v>
      </c>
      <c r="J7" s="6">
        <f>'Data Sheet'!J44</f>
        <v>738.84</v>
      </c>
      <c r="K7" s="6">
        <f>'Data Sheet'!K44</f>
        <v>321.85000000000002</v>
      </c>
    </row>
    <row r="8" spans="1:11" x14ac:dyDescent="0.35">
      <c r="A8" t="s">
        <v>10</v>
      </c>
      <c r="B8" s="6">
        <f>'Data Sheet'!B45</f>
        <v>453.04</v>
      </c>
      <c r="C8" s="6">
        <f>'Data Sheet'!C45</f>
        <v>384.04</v>
      </c>
      <c r="D8" s="6">
        <f>'Data Sheet'!D45</f>
        <v>385.09</v>
      </c>
      <c r="E8" s="6">
        <f>'Data Sheet'!E45</f>
        <v>403.13</v>
      </c>
      <c r="F8" s="6">
        <f>'Data Sheet'!F45</f>
        <v>416.18</v>
      </c>
      <c r="G8" s="6">
        <f>'Data Sheet'!G45</f>
        <v>415.98</v>
      </c>
      <c r="H8" s="6">
        <f>'Data Sheet'!H45</f>
        <v>411.03</v>
      </c>
      <c r="I8" s="6">
        <f>'Data Sheet'!I45</f>
        <v>422.96</v>
      </c>
      <c r="J8" s="6">
        <f>'Data Sheet'!J45</f>
        <v>434.8</v>
      </c>
      <c r="K8" s="6">
        <f>'Data Sheet'!K45</f>
        <v>430.82</v>
      </c>
    </row>
    <row r="9" spans="1:11" x14ac:dyDescent="0.35">
      <c r="A9" t="s">
        <v>11</v>
      </c>
      <c r="B9" s="6">
        <f>'Data Sheet'!B46</f>
        <v>9.8699999999999992</v>
      </c>
      <c r="C9" s="6">
        <f>'Data Sheet'!C46</f>
        <v>11.94</v>
      </c>
      <c r="D9" s="6">
        <f>'Data Sheet'!D46</f>
        <v>10.72</v>
      </c>
      <c r="E9" s="6">
        <f>'Data Sheet'!E46</f>
        <v>9.6</v>
      </c>
      <c r="F9" s="6">
        <f>'Data Sheet'!F46</f>
        <v>14.73</v>
      </c>
      <c r="G9" s="6">
        <f>'Data Sheet'!G46</f>
        <v>9.82</v>
      </c>
      <c r="H9" s="6">
        <f>'Data Sheet'!H46</f>
        <v>10.91</v>
      </c>
      <c r="I9" s="6">
        <f>'Data Sheet'!I46</f>
        <v>16.47</v>
      </c>
      <c r="J9" s="6">
        <f>'Data Sheet'!J46</f>
        <v>20.05</v>
      </c>
      <c r="K9" s="6">
        <f>'Data Sheet'!K46</f>
        <v>19.47</v>
      </c>
    </row>
    <row r="10" spans="1:11" x14ac:dyDescent="0.35">
      <c r="A10" t="s">
        <v>12</v>
      </c>
      <c r="B10" s="6">
        <f>'Data Sheet'!B47</f>
        <v>6664.83</v>
      </c>
      <c r="C10" s="6">
        <f>'Data Sheet'!C47</f>
        <v>6634.51</v>
      </c>
      <c r="D10" s="6">
        <f>'Data Sheet'!D47</f>
        <v>6774.26</v>
      </c>
      <c r="E10" s="6">
        <f>'Data Sheet'!E47</f>
        <v>6903.24</v>
      </c>
      <c r="F10" s="6">
        <f>'Data Sheet'!F47</f>
        <v>6811.48</v>
      </c>
      <c r="G10" s="6">
        <f>'Data Sheet'!G47</f>
        <v>6739.5</v>
      </c>
      <c r="H10" s="6">
        <f>'Data Sheet'!H47</f>
        <v>21488.73</v>
      </c>
      <c r="I10" s="6">
        <f>'Data Sheet'!I47</f>
        <v>7128.01</v>
      </c>
      <c r="J10" s="6">
        <f>'Data Sheet'!J47</f>
        <v>6978.68</v>
      </c>
      <c r="K10" s="6">
        <f>'Data Sheet'!K47</f>
        <v>6754.08</v>
      </c>
    </row>
    <row r="11" spans="1:11" x14ac:dyDescent="0.35">
      <c r="A11" t="s">
        <v>13</v>
      </c>
      <c r="B11" s="6">
        <f>'Data Sheet'!B48</f>
        <v>1700.31</v>
      </c>
      <c r="C11" s="6">
        <f>'Data Sheet'!C48</f>
        <v>1227.99</v>
      </c>
      <c r="D11" s="6">
        <f>'Data Sheet'!D48</f>
        <v>1583.55</v>
      </c>
      <c r="E11" s="6">
        <f>'Data Sheet'!E48</f>
        <v>1726.25</v>
      </c>
      <c r="F11" s="6">
        <f>'Data Sheet'!F48</f>
        <v>1757.05</v>
      </c>
      <c r="G11" s="6">
        <f>'Data Sheet'!G48</f>
        <v>1726.32</v>
      </c>
      <c r="H11" s="6">
        <f>'Data Sheet'!H48</f>
        <v>1680.85</v>
      </c>
      <c r="I11" s="6">
        <f>'Data Sheet'!I48</f>
        <v>1784.6</v>
      </c>
      <c r="J11" s="6">
        <f>'Data Sheet'!J48</f>
        <v>1792.13</v>
      </c>
      <c r="K11" s="6">
        <f>'Data Sheet'!K48</f>
        <v>1735.63</v>
      </c>
    </row>
    <row r="12" spans="1:11" s="2" customFormat="1" x14ac:dyDescent="0.35">
      <c r="A12" s="2" t="s">
        <v>14</v>
      </c>
      <c r="B12" s="1">
        <f>'Data Sheet'!B49</f>
        <v>4898.07</v>
      </c>
      <c r="C12" s="1">
        <f>'Data Sheet'!C49</f>
        <v>5335.23</v>
      </c>
      <c r="D12" s="1">
        <f>'Data Sheet'!D49</f>
        <v>5120.55</v>
      </c>
      <c r="E12" s="1">
        <f>'Data Sheet'!E49</f>
        <v>5091.59</v>
      </c>
      <c r="F12" s="1">
        <f>'Data Sheet'!F49</f>
        <v>4992.87</v>
      </c>
      <c r="G12" s="1">
        <f>'Data Sheet'!G49</f>
        <v>4934.8</v>
      </c>
      <c r="H12" s="1">
        <f>'Data Sheet'!H49</f>
        <v>19727.37</v>
      </c>
      <c r="I12" s="1">
        <f>'Data Sheet'!I49</f>
        <v>5244.2</v>
      </c>
      <c r="J12" s="1">
        <f>'Data Sheet'!J49</f>
        <v>5126.1099999999997</v>
      </c>
      <c r="K12" s="1">
        <f>'Data Sheet'!K49</f>
        <v>4931.1899999999996</v>
      </c>
    </row>
    <row r="14" spans="1:11" s="2" customFormat="1" x14ac:dyDescent="0.35">
      <c r="A14" s="2" t="s">
        <v>18</v>
      </c>
      <c r="B14" s="10">
        <f>IF(B4&gt;0,B6/B4,"")</f>
        <v>0.3631185627475812</v>
      </c>
      <c r="C14" s="10">
        <f t="shared" ref="C14:K14" si="0">IF(C4&gt;0,C6/C4,"")</f>
        <v>0.36115983260483708</v>
      </c>
      <c r="D14" s="10">
        <f t="shared" si="0"/>
        <v>0.36988754416650038</v>
      </c>
      <c r="E14" s="10">
        <f t="shared" si="0"/>
        <v>0.36814658273431877</v>
      </c>
      <c r="F14" s="10">
        <f t="shared" si="0"/>
        <v>0.32776198127497452</v>
      </c>
      <c r="G14" s="10">
        <f t="shared" si="0"/>
        <v>0.3385759681791064</v>
      </c>
      <c r="H14" s="10">
        <f t="shared" si="0"/>
        <v>0.34742286171063153</v>
      </c>
      <c r="I14" s="10">
        <f t="shared" si="0"/>
        <v>0.31712196304313744</v>
      </c>
      <c r="J14" s="10">
        <f t="shared" si="0"/>
        <v>0.34328874047964192</v>
      </c>
      <c r="K14" s="10">
        <f t="shared" si="0"/>
        <v>0.34331406224279581</v>
      </c>
    </row>
    <row r="22" s="21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2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 x14ac:dyDescent="0.35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 x14ac:dyDescent="0.35">
      <c r="A6" t="s">
        <v>62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 x14ac:dyDescent="0.35">
      <c r="A7" t="s">
        <v>63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 x14ac:dyDescent="0.35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 x14ac:dyDescent="0.35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 x14ac:dyDescent="0.35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 x14ac:dyDescent="0.35">
      <c r="A13" t="s">
        <v>64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 x14ac:dyDescent="0.35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 x14ac:dyDescent="0.35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 x14ac:dyDescent="0.35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 x14ac:dyDescent="0.35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 x14ac:dyDescent="0.35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 x14ac:dyDescent="0.35">
      <c r="A23" s="2" t="s">
        <v>50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 x14ac:dyDescent="0.35">
      <c r="A24" s="2" t="s">
        <v>51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ITC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 x14ac:dyDescent="0.35">
      <c r="A5" t="s">
        <v>33</v>
      </c>
      <c r="B5" s="6">
        <f>'Data Sheet'!B83</f>
        <v>-3920.73</v>
      </c>
      <c r="C5" s="6">
        <f>'Data Sheet'!C83</f>
        <v>-3250.93</v>
      </c>
      <c r="D5" s="6">
        <f>'Data Sheet'!D83</f>
        <v>-7113.89</v>
      </c>
      <c r="E5" s="6">
        <f>'Data Sheet'!E83</f>
        <v>-5545.68</v>
      </c>
      <c r="F5" s="6">
        <f>'Data Sheet'!F83</f>
        <v>-6174.02</v>
      </c>
      <c r="G5" s="6">
        <f>'Data Sheet'!G83</f>
        <v>5739.98</v>
      </c>
      <c r="H5" s="6">
        <f>'Data Sheet'!H83</f>
        <v>-2238.4899999999998</v>
      </c>
      <c r="I5" s="6">
        <f>'Data Sheet'!I83</f>
        <v>-5732.29</v>
      </c>
      <c r="J5" s="6">
        <f>'Data Sheet'!J83</f>
        <v>1562.77</v>
      </c>
      <c r="K5" s="6">
        <f>'Data Sheet'!K83</f>
        <v>-563.84</v>
      </c>
    </row>
    <row r="6" spans="1:11" x14ac:dyDescent="0.35">
      <c r="A6" t="s">
        <v>34</v>
      </c>
      <c r="B6" s="6">
        <f>'Data Sheet'!B84</f>
        <v>-5612.52</v>
      </c>
      <c r="C6" s="6">
        <f>'Data Sheet'!C84</f>
        <v>-7301.03</v>
      </c>
      <c r="D6" s="6">
        <f>'Data Sheet'!D84</f>
        <v>-6221.13</v>
      </c>
      <c r="E6" s="6">
        <f>'Data Sheet'!E84</f>
        <v>-6868.64</v>
      </c>
      <c r="F6" s="6">
        <f>'Data Sheet'!F84</f>
        <v>-8181.48</v>
      </c>
      <c r="G6" s="6">
        <f>'Data Sheet'!G84</f>
        <v>-18633.830000000002</v>
      </c>
      <c r="H6" s="6">
        <f>'Data Sheet'!H84</f>
        <v>-13580.5</v>
      </c>
      <c r="I6" s="6">
        <f>'Data Sheet'!I84</f>
        <v>-13006.03</v>
      </c>
      <c r="J6" s="6">
        <f>'Data Sheet'!J84</f>
        <v>-18550.96</v>
      </c>
      <c r="K6" s="6">
        <f>'Data Sheet'!K84</f>
        <v>-17037.400000000001</v>
      </c>
    </row>
    <row r="7" spans="1:11" s="2" customFormat="1" x14ac:dyDescent="0.35">
      <c r="A7" s="2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showGridLines="0" zoomScale="82" zoomScaleNormal="82" zoomScalePageLayoutView="120"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B22" sqref="B22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3" width="9.7265625" style="4" bestFit="1" customWidth="1"/>
    <col min="14" max="16384" width="8.81640625" style="4"/>
  </cols>
  <sheetData>
    <row r="1" spans="1:11" s="1" customFormat="1" x14ac:dyDescent="0.35">
      <c r="A1" s="1" t="s">
        <v>0</v>
      </c>
      <c r="B1" s="1" t="s">
        <v>54</v>
      </c>
      <c r="E1" s="79" t="str">
        <f>IF(B2&lt;&gt;B3, "A NEW VERSION OF THE WORKSHEET IS AVAILABLE", "")</f>
        <v/>
      </c>
      <c r="F1" s="79"/>
      <c r="G1" s="79"/>
      <c r="H1" s="79"/>
      <c r="I1" s="79"/>
      <c r="J1" s="79"/>
      <c r="K1" s="79"/>
    </row>
    <row r="2" spans="1:11" x14ac:dyDescent="0.35">
      <c r="A2" s="1" t="s">
        <v>52</v>
      </c>
      <c r="B2" s="4">
        <v>2.1</v>
      </c>
      <c r="E2" s="80" t="s">
        <v>36</v>
      </c>
      <c r="F2" s="80"/>
      <c r="G2" s="80"/>
      <c r="H2" s="80"/>
      <c r="I2" s="80"/>
      <c r="J2" s="80"/>
      <c r="K2" s="80"/>
    </row>
    <row r="3" spans="1:11" x14ac:dyDescent="0.35">
      <c r="A3" s="1" t="s">
        <v>53</v>
      </c>
      <c r="B3" s="4">
        <v>2.1</v>
      </c>
    </row>
    <row r="4" spans="1:11" x14ac:dyDescent="0.35">
      <c r="A4" s="1"/>
    </row>
    <row r="5" spans="1:11" x14ac:dyDescent="0.35">
      <c r="A5" s="1" t="s">
        <v>55</v>
      </c>
    </row>
    <row r="6" spans="1:11" x14ac:dyDescent="0.35">
      <c r="A6" s="4" t="s">
        <v>42</v>
      </c>
      <c r="B6" s="4">
        <f>IF(B9&gt;0, B9/B8, 0)</f>
        <v>1252.9468206212393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307.45</v>
      </c>
    </row>
    <row r="9" spans="1:11" x14ac:dyDescent="0.35">
      <c r="A9" s="4" t="s">
        <v>70</v>
      </c>
      <c r="B9">
        <v>385218.5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3" s="6" customFormat="1" x14ac:dyDescent="0.35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3" s="6" customFormat="1" x14ac:dyDescent="0.35">
      <c r="A18" s="26" t="s">
        <v>71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3" s="6" customFormat="1" x14ac:dyDescent="0.35">
      <c r="A19" s="4" t="s">
        <v>72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3" s="6" customFormat="1" x14ac:dyDescent="0.35">
      <c r="A20" s="26" t="s">
        <v>73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3" s="6" customFormat="1" x14ac:dyDescent="0.35">
      <c r="A21" s="26" t="s">
        <v>74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3" s="6" customFormat="1" x14ac:dyDescent="0.35">
      <c r="A22" s="26" t="s">
        <v>75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3" s="6" customFormat="1" x14ac:dyDescent="0.35">
      <c r="A23" s="4" t="s">
        <v>76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  <c r="L23" s="6">
        <f>SUM(H23:K23)</f>
        <v>21568.2</v>
      </c>
      <c r="M23" s="6">
        <f>SUM(L23,L24)</f>
        <v>27974.07</v>
      </c>
    </row>
    <row r="24" spans="1:13" s="6" customFormat="1" x14ac:dyDescent="0.35">
      <c r="A24" s="4" t="s">
        <v>77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  <c r="L24" s="6">
        <f>SUM(H24:K24)</f>
        <v>6405.8700000000008</v>
      </c>
    </row>
    <row r="25" spans="1:13" s="6" customFormat="1" x14ac:dyDescent="0.35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3" s="6" customFormat="1" x14ac:dyDescent="0.35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3" s="6" customFormat="1" x14ac:dyDescent="0.35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3" s="6" customFormat="1" x14ac:dyDescent="0.35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3" s="6" customFormat="1" x14ac:dyDescent="0.35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3" s="6" customFormat="1" x14ac:dyDescent="0.35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3" s="6" customFormat="1" x14ac:dyDescent="0.35">
      <c r="A31" s="6" t="s">
        <v>61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3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 x14ac:dyDescent="0.35">
      <c r="A43" s="6" t="s">
        <v>7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 x14ac:dyDescent="0.35">
      <c r="A44" s="6" t="s">
        <v>9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 x14ac:dyDescent="0.35">
      <c r="A45" s="6" t="s">
        <v>10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 x14ac:dyDescent="0.35">
      <c r="A46" s="6" t="s">
        <v>11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 x14ac:dyDescent="0.35">
      <c r="A47" s="6" t="s">
        <v>12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 x14ac:dyDescent="0.35">
      <c r="A48" s="6" t="s">
        <v>13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 x14ac:dyDescent="0.35">
      <c r="A49" s="6" t="s">
        <v>14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 x14ac:dyDescent="0.35">
      <c r="A50" s="6" t="s">
        <v>8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5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5">
      <c r="A59" s="6" t="s">
        <v>62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5">
      <c r="A60" s="6" t="s">
        <v>63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5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5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5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5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5">
      <c r="A65" s="6" t="s">
        <v>64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5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5">
      <c r="A67" s="6" t="s">
        <v>69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5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5">
      <c r="A69" s="4" t="s">
        <v>78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5">
      <c r="A70" s="4" t="s">
        <v>65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5">
      <c r="A71" s="4" t="s">
        <v>66</v>
      </c>
      <c r="C71">
        <v>4026657100</v>
      </c>
      <c r="D71"/>
    </row>
    <row r="72" spans="1:11" x14ac:dyDescent="0.35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5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5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5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68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5">
      <c r="A92" s="1" t="s">
        <v>67</v>
      </c>
    </row>
    <row r="93" spans="1:11" x14ac:dyDescent="0.35">
      <c r="A93" s="4" t="s">
        <v>80</v>
      </c>
      <c r="B93" s="4">
        <v>1207.08</v>
      </c>
      <c r="C93" s="4">
        <v>1214.74</v>
      </c>
      <c r="D93" s="4">
        <v>1220.43</v>
      </c>
      <c r="E93" s="4">
        <v>1225.8599999999999</v>
      </c>
      <c r="F93" s="4">
        <v>1229.22</v>
      </c>
      <c r="G93" s="4">
        <v>1230.8800000000001</v>
      </c>
      <c r="H93" s="4">
        <v>1232.33</v>
      </c>
      <c r="I93" s="4">
        <v>1242.8</v>
      </c>
      <c r="J93" s="4">
        <v>1248.47</v>
      </c>
      <c r="K93" s="4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34"/>
  <sheetViews>
    <sheetView showGridLines="0" zoomScale="84" zoomScaleNormal="84" zoomScalePageLayoutView="150" workbookViewId="0">
      <selection activeCell="B1" sqref="B1"/>
    </sheetView>
  </sheetViews>
  <sheetFormatPr defaultColWidth="8.81640625" defaultRowHeight="14.5" x14ac:dyDescent="0.35"/>
  <cols>
    <col min="1" max="1" width="8.7265625" style="2" customWidth="1"/>
    <col min="2" max="2" width="30" bestFit="1" customWidth="1"/>
    <col min="3" max="3" width="14.1796875" style="20" bestFit="1" customWidth="1"/>
    <col min="4" max="4" width="14.1796875" bestFit="1" customWidth="1"/>
    <col min="5" max="9" width="15.6328125" bestFit="1" customWidth="1"/>
    <col min="10" max="10" width="14.7265625" bestFit="1" customWidth="1"/>
    <col min="11" max="13" width="15.453125" bestFit="1" customWidth="1"/>
    <col min="14" max="14" width="15.6328125" bestFit="1" customWidth="1"/>
  </cols>
  <sheetData>
    <row r="1" spans="1:14" ht="21" x14ac:dyDescent="0.5">
      <c r="A1" s="19"/>
    </row>
    <row r="2" spans="1:14" ht="15" thickBot="1" x14ac:dyDescent="0.4">
      <c r="B2" s="81">
        <v>41699</v>
      </c>
      <c r="C2" s="56">
        <v>42064</v>
      </c>
      <c r="D2" s="56">
        <v>42430</v>
      </c>
      <c r="E2" s="56">
        <v>42795</v>
      </c>
      <c r="F2" s="56">
        <v>43160</v>
      </c>
      <c r="G2" s="56">
        <v>43525</v>
      </c>
      <c r="H2" s="56">
        <v>43891</v>
      </c>
      <c r="I2" s="56">
        <v>44256</v>
      </c>
      <c r="J2" s="56">
        <v>44621</v>
      </c>
      <c r="K2" s="56">
        <v>44986</v>
      </c>
      <c r="L2" s="56">
        <v>45352</v>
      </c>
      <c r="M2" s="56">
        <v>45717</v>
      </c>
      <c r="N2" s="56"/>
    </row>
    <row r="3" spans="1:14" ht="15" thickBot="1" x14ac:dyDescent="0.4">
      <c r="B3" s="67" t="s">
        <v>151</v>
      </c>
      <c r="C3" s="68">
        <v>7344</v>
      </c>
      <c r="D3" s="68">
        <v>9843</v>
      </c>
      <c r="E3" s="68">
        <v>9799</v>
      </c>
      <c r="F3" s="68">
        <v>10627</v>
      </c>
      <c r="G3" s="68">
        <v>13169</v>
      </c>
      <c r="H3" s="68">
        <v>12583</v>
      </c>
      <c r="I3" s="68">
        <v>14690</v>
      </c>
      <c r="J3" s="68">
        <v>12527</v>
      </c>
      <c r="K3" s="68">
        <v>15776</v>
      </c>
      <c r="L3" s="68">
        <v>18878</v>
      </c>
      <c r="M3" s="68">
        <v>17179</v>
      </c>
      <c r="N3" s="68">
        <v>17627</v>
      </c>
    </row>
    <row r="4" spans="1:14" x14ac:dyDescent="0.35">
      <c r="B4" s="69" t="s">
        <v>118</v>
      </c>
      <c r="C4" s="68">
        <v>13172</v>
      </c>
      <c r="D4" s="68">
        <v>14261</v>
      </c>
      <c r="E4" s="68">
        <v>15154</v>
      </c>
      <c r="F4" s="68">
        <v>16075</v>
      </c>
      <c r="G4" s="68">
        <v>17433</v>
      </c>
      <c r="H4" s="68">
        <v>18862</v>
      </c>
      <c r="I4" s="68">
        <v>19416</v>
      </c>
      <c r="J4" s="68">
        <v>17326</v>
      </c>
      <c r="K4" s="68">
        <v>20857</v>
      </c>
      <c r="L4" s="68">
        <v>26052</v>
      </c>
      <c r="M4" s="68">
        <v>26635</v>
      </c>
      <c r="N4" s="68">
        <v>26719</v>
      </c>
    </row>
    <row r="5" spans="1:14" x14ac:dyDescent="0.35">
      <c r="B5" s="57" t="s">
        <v>69</v>
      </c>
      <c r="C5" s="61">
        <v>-1546</v>
      </c>
      <c r="D5" s="61">
        <v>558</v>
      </c>
      <c r="E5" s="61">
        <v>-207</v>
      </c>
      <c r="F5" s="61">
        <v>-870</v>
      </c>
      <c r="G5" s="61">
        <v>-964</v>
      </c>
      <c r="H5" s="61">
        <v>-755</v>
      </c>
      <c r="I5" s="61">
        <v>1411</v>
      </c>
      <c r="J5" s="61">
        <v>-66</v>
      </c>
      <c r="K5" s="61">
        <v>-732</v>
      </c>
      <c r="L5" s="61">
        <v>-884</v>
      </c>
      <c r="M5" s="61">
        <v>-934</v>
      </c>
      <c r="N5" s="61">
        <v>-1023</v>
      </c>
    </row>
    <row r="6" spans="1:14" x14ac:dyDescent="0.35">
      <c r="B6" s="57" t="s">
        <v>45</v>
      </c>
      <c r="C6" s="61">
        <v>-755</v>
      </c>
      <c r="D6" s="61">
        <v>-505</v>
      </c>
      <c r="E6" s="61">
        <v>-693</v>
      </c>
      <c r="F6" s="61">
        <v>593</v>
      </c>
      <c r="G6" s="61">
        <v>602</v>
      </c>
      <c r="H6" s="61">
        <v>-359</v>
      </c>
      <c r="I6" s="61">
        <v>-508</v>
      </c>
      <c r="J6" s="61">
        <v>-1460</v>
      </c>
      <c r="K6" s="61">
        <v>-466</v>
      </c>
      <c r="L6" s="61">
        <v>-1098</v>
      </c>
      <c r="M6" s="61">
        <v>-2545</v>
      </c>
      <c r="N6" s="61">
        <v>-2975</v>
      </c>
    </row>
    <row r="7" spans="1:14" x14ac:dyDescent="0.35">
      <c r="B7" s="57" t="s">
        <v>119</v>
      </c>
      <c r="C7" s="61">
        <v>456</v>
      </c>
      <c r="D7" s="61">
        <v>-23</v>
      </c>
      <c r="E7" s="61">
        <v>622</v>
      </c>
      <c r="F7" s="61">
        <v>321</v>
      </c>
      <c r="G7" s="61">
        <v>2098</v>
      </c>
      <c r="H7" s="61">
        <v>639</v>
      </c>
      <c r="I7" s="61">
        <v>-607</v>
      </c>
      <c r="J7" s="61">
        <v>1112</v>
      </c>
      <c r="K7" s="61">
        <v>1099</v>
      </c>
      <c r="L7" s="61">
        <v>1058</v>
      </c>
      <c r="M7" s="61">
        <v>141</v>
      </c>
      <c r="N7" s="61">
        <v>1256</v>
      </c>
    </row>
    <row r="8" spans="1:14" x14ac:dyDescent="0.35">
      <c r="B8" s="57" t="s">
        <v>122</v>
      </c>
      <c r="C8" s="61">
        <v>-1844</v>
      </c>
      <c r="D8" s="61">
        <v>31</v>
      </c>
      <c r="E8" s="61">
        <v>-277</v>
      </c>
      <c r="F8" s="61">
        <v>44</v>
      </c>
      <c r="G8" s="61">
        <v>1736</v>
      </c>
      <c r="H8" s="61">
        <v>-476</v>
      </c>
      <c r="I8" s="61">
        <v>296</v>
      </c>
      <c r="J8" s="61">
        <v>-413</v>
      </c>
      <c r="K8" s="61">
        <v>-100</v>
      </c>
      <c r="L8" s="61">
        <v>-924</v>
      </c>
      <c r="M8" s="61">
        <v>-3337</v>
      </c>
      <c r="N8" s="61">
        <v>-2742</v>
      </c>
    </row>
    <row r="9" spans="1:14" ht="15" thickBot="1" x14ac:dyDescent="0.4">
      <c r="B9" s="57" t="s">
        <v>123</v>
      </c>
      <c r="C9" s="61">
        <v>-3984</v>
      </c>
      <c r="D9" s="61">
        <v>-4449</v>
      </c>
      <c r="E9" s="61">
        <v>-5078</v>
      </c>
      <c r="F9" s="61">
        <v>-5492</v>
      </c>
      <c r="G9" s="61">
        <v>-6000</v>
      </c>
      <c r="H9" s="61">
        <v>-5803</v>
      </c>
      <c r="I9" s="61">
        <v>-5023</v>
      </c>
      <c r="J9" s="61">
        <v>-4387</v>
      </c>
      <c r="K9" s="61">
        <v>-4982</v>
      </c>
      <c r="L9" s="61">
        <v>-6250</v>
      </c>
      <c r="M9" s="61">
        <v>-6120</v>
      </c>
      <c r="N9" s="61">
        <v>-6350</v>
      </c>
    </row>
    <row r="10" spans="1:14" x14ac:dyDescent="0.35">
      <c r="B10" s="69" t="s">
        <v>152</v>
      </c>
      <c r="C10" s="68">
        <v>-3254</v>
      </c>
      <c r="D10" s="68">
        <v>-5275</v>
      </c>
      <c r="E10" s="68">
        <v>-3921</v>
      </c>
      <c r="F10" s="68">
        <v>-3251</v>
      </c>
      <c r="G10" s="68">
        <v>-7114</v>
      </c>
      <c r="H10" s="68">
        <v>-5546</v>
      </c>
      <c r="I10" s="68">
        <v>-6174</v>
      </c>
      <c r="J10" s="68">
        <v>5740</v>
      </c>
      <c r="K10" s="68">
        <v>-2238</v>
      </c>
      <c r="L10" s="68">
        <v>-5732</v>
      </c>
      <c r="M10" s="68">
        <v>1563</v>
      </c>
      <c r="N10" s="68">
        <v>-564</v>
      </c>
    </row>
    <row r="11" spans="1:14" ht="15" thickBot="1" x14ac:dyDescent="0.4">
      <c r="B11" s="57" t="s">
        <v>124</v>
      </c>
      <c r="C11" s="61">
        <v>-2887</v>
      </c>
      <c r="D11" s="61">
        <v>-3300</v>
      </c>
      <c r="E11" s="61">
        <v>-2348</v>
      </c>
      <c r="F11" s="61">
        <v>-3122</v>
      </c>
      <c r="G11" s="61">
        <v>-2878</v>
      </c>
      <c r="H11" s="61">
        <v>-3169</v>
      </c>
      <c r="I11" s="61">
        <v>-2441</v>
      </c>
      <c r="J11" s="61">
        <v>-1837</v>
      </c>
      <c r="K11" s="61">
        <v>-2142</v>
      </c>
      <c r="L11" s="61">
        <v>-2743</v>
      </c>
      <c r="M11" s="61">
        <v>-3563</v>
      </c>
      <c r="N11" s="61">
        <v>-2279</v>
      </c>
    </row>
    <row r="12" spans="1:14" x14ac:dyDescent="0.35">
      <c r="B12" s="70" t="s">
        <v>125</v>
      </c>
      <c r="C12" s="71">
        <v>38</v>
      </c>
      <c r="D12" s="71">
        <v>9</v>
      </c>
      <c r="E12" s="71">
        <v>8</v>
      </c>
      <c r="F12" s="71">
        <v>50</v>
      </c>
      <c r="G12" s="71">
        <v>80</v>
      </c>
      <c r="H12" s="71">
        <v>28</v>
      </c>
      <c r="I12" s="71">
        <v>27</v>
      </c>
      <c r="J12" s="71">
        <v>3</v>
      </c>
      <c r="K12" s="71">
        <v>133</v>
      </c>
      <c r="L12" s="71">
        <v>49</v>
      </c>
      <c r="M12" s="71">
        <v>107</v>
      </c>
      <c r="N12" s="71">
        <v>175</v>
      </c>
    </row>
    <row r="13" spans="1:14" x14ac:dyDescent="0.35">
      <c r="B13" s="58" t="s">
        <v>126</v>
      </c>
      <c r="C13" s="62">
        <v>-94242</v>
      </c>
      <c r="D13" s="62">
        <v>-98742</v>
      </c>
      <c r="E13" s="62">
        <v>-154081</v>
      </c>
      <c r="F13" s="62">
        <v>-85683</v>
      </c>
      <c r="G13" s="62">
        <v>-98330</v>
      </c>
      <c r="H13" s="62">
        <v>-94187</v>
      </c>
      <c r="I13" s="62">
        <v>-79835</v>
      </c>
      <c r="J13" s="62">
        <v>-57553</v>
      </c>
      <c r="K13" s="62">
        <v>-69776</v>
      </c>
      <c r="L13" s="62">
        <v>-80932</v>
      </c>
      <c r="M13" s="62">
        <v>-75107</v>
      </c>
      <c r="N13" s="62">
        <v>-66373</v>
      </c>
    </row>
    <row r="14" spans="1:14" x14ac:dyDescent="0.35">
      <c r="B14" s="58" t="s">
        <v>127</v>
      </c>
      <c r="C14" s="62">
        <v>93293</v>
      </c>
      <c r="D14" s="62">
        <v>99658</v>
      </c>
      <c r="E14" s="62">
        <v>150651</v>
      </c>
      <c r="F14" s="62">
        <v>81034</v>
      </c>
      <c r="G14" s="62">
        <v>95017</v>
      </c>
      <c r="H14" s="62">
        <v>92454</v>
      </c>
      <c r="I14" s="62">
        <v>75835</v>
      </c>
      <c r="J14" s="62">
        <v>62797</v>
      </c>
      <c r="K14" s="62">
        <v>70992</v>
      </c>
      <c r="L14" s="62">
        <v>77230</v>
      </c>
      <c r="M14" s="62">
        <v>77830</v>
      </c>
      <c r="N14" s="62">
        <v>67311</v>
      </c>
    </row>
    <row r="15" spans="1:14" x14ac:dyDescent="0.35">
      <c r="B15" s="58" t="s">
        <v>128</v>
      </c>
      <c r="C15" s="62">
        <v>374</v>
      </c>
      <c r="D15" s="62">
        <v>559</v>
      </c>
      <c r="E15" s="62">
        <v>741</v>
      </c>
      <c r="F15" s="62">
        <v>756</v>
      </c>
      <c r="G15" s="62">
        <v>736</v>
      </c>
      <c r="H15" s="62">
        <v>1184</v>
      </c>
      <c r="I15" s="62">
        <v>1513</v>
      </c>
      <c r="J15" s="62">
        <v>1275</v>
      </c>
      <c r="K15" s="62">
        <v>1035</v>
      </c>
      <c r="L15" s="62">
        <v>1324</v>
      </c>
      <c r="M15" s="62">
        <v>1138</v>
      </c>
      <c r="N15" s="62">
        <v>1072</v>
      </c>
    </row>
    <row r="16" spans="1:14" x14ac:dyDescent="0.35">
      <c r="B16" s="58" t="s">
        <v>129</v>
      </c>
      <c r="C16" s="62">
        <v>192</v>
      </c>
      <c r="D16" s="62">
        <v>268</v>
      </c>
      <c r="E16" s="62">
        <v>64</v>
      </c>
      <c r="F16" s="62">
        <v>4</v>
      </c>
      <c r="G16" s="62">
        <v>13</v>
      </c>
      <c r="H16" s="62">
        <v>13</v>
      </c>
      <c r="I16" s="62">
        <v>17</v>
      </c>
      <c r="J16" s="62">
        <v>7</v>
      </c>
      <c r="K16" s="62">
        <v>16</v>
      </c>
      <c r="L16" s="62">
        <v>19</v>
      </c>
      <c r="M16" s="62">
        <v>36</v>
      </c>
      <c r="N16" s="62">
        <v>38</v>
      </c>
    </row>
    <row r="17" spans="2:14" x14ac:dyDescent="0.35">
      <c r="B17" s="58" t="s">
        <v>153</v>
      </c>
      <c r="C17" s="62">
        <v>0</v>
      </c>
      <c r="D17" s="62">
        <v>0</v>
      </c>
      <c r="E17" s="62">
        <v>-8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</row>
    <row r="18" spans="2:14" x14ac:dyDescent="0.35">
      <c r="B18" s="58" t="s">
        <v>130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-2</v>
      </c>
      <c r="K18" s="62">
        <v>-2</v>
      </c>
      <c r="L18" s="62">
        <v>-2</v>
      </c>
      <c r="M18" s="62">
        <v>-65</v>
      </c>
      <c r="N18" s="62">
        <v>-30</v>
      </c>
    </row>
    <row r="19" spans="2:14" x14ac:dyDescent="0.35">
      <c r="B19" s="58" t="s">
        <v>131</v>
      </c>
      <c r="C19" s="62">
        <v>0</v>
      </c>
      <c r="D19" s="62">
        <v>0</v>
      </c>
      <c r="E19" s="62">
        <v>0</v>
      </c>
      <c r="F19" s="62">
        <v>129</v>
      </c>
      <c r="G19" s="62">
        <v>18</v>
      </c>
      <c r="H19" s="62">
        <v>18</v>
      </c>
      <c r="I19" s="62">
        <v>0</v>
      </c>
      <c r="J19" s="62">
        <v>0</v>
      </c>
      <c r="K19" s="62">
        <v>0</v>
      </c>
      <c r="L19" s="62">
        <v>56</v>
      </c>
      <c r="M19" s="62">
        <v>0</v>
      </c>
      <c r="N19" s="62">
        <v>0</v>
      </c>
    </row>
    <row r="20" spans="2:14" x14ac:dyDescent="0.35">
      <c r="B20" s="58" t="s">
        <v>134</v>
      </c>
      <c r="C20" s="62">
        <v>-21</v>
      </c>
      <c r="D20" s="62">
        <v>-3728</v>
      </c>
      <c r="E20" s="62">
        <v>1052</v>
      </c>
      <c r="F20" s="62">
        <v>3579</v>
      </c>
      <c r="G20" s="62">
        <v>-1769</v>
      </c>
      <c r="H20" s="62">
        <v>-1887</v>
      </c>
      <c r="I20" s="62">
        <v>-1290</v>
      </c>
      <c r="J20" s="62">
        <v>1051</v>
      </c>
      <c r="K20" s="62">
        <v>-2494</v>
      </c>
      <c r="L20" s="62">
        <v>-733</v>
      </c>
      <c r="M20" s="62">
        <v>1187</v>
      </c>
      <c r="N20" s="62">
        <v>-478</v>
      </c>
    </row>
    <row r="21" spans="2:14" x14ac:dyDescent="0.35">
      <c r="B21" s="58" t="s">
        <v>154</v>
      </c>
      <c r="C21" s="62">
        <v>-4122</v>
      </c>
      <c r="D21" s="62">
        <v>-4661</v>
      </c>
      <c r="E21" s="62">
        <v>-5613</v>
      </c>
      <c r="F21" s="62">
        <v>-7301</v>
      </c>
      <c r="G21" s="62">
        <v>-6221</v>
      </c>
      <c r="H21" s="62">
        <v>-6869</v>
      </c>
      <c r="I21" s="62">
        <v>-8181</v>
      </c>
      <c r="J21" s="62">
        <v>-18634</v>
      </c>
      <c r="K21" s="62">
        <v>-13580</v>
      </c>
      <c r="L21" s="62">
        <v>-13006</v>
      </c>
      <c r="M21" s="62">
        <v>-18551</v>
      </c>
      <c r="N21" s="62">
        <v>-17037</v>
      </c>
    </row>
    <row r="22" spans="2:14" x14ac:dyDescent="0.35">
      <c r="B22" s="58" t="s">
        <v>135</v>
      </c>
      <c r="C22" s="62">
        <v>691</v>
      </c>
      <c r="D22" s="62">
        <v>979</v>
      </c>
      <c r="E22" s="62">
        <v>532</v>
      </c>
      <c r="F22" s="62">
        <v>1067</v>
      </c>
      <c r="G22" s="62">
        <v>913</v>
      </c>
      <c r="H22" s="62">
        <v>969</v>
      </c>
      <c r="I22" s="62">
        <v>625</v>
      </c>
      <c r="J22" s="62">
        <v>291</v>
      </c>
      <c r="K22" s="62">
        <v>292</v>
      </c>
      <c r="L22" s="62">
        <v>2477</v>
      </c>
      <c r="M22" s="62">
        <v>1443</v>
      </c>
      <c r="N22" s="62">
        <v>797</v>
      </c>
    </row>
    <row r="23" spans="2:14" ht="15" thickBot="1" x14ac:dyDescent="0.4">
      <c r="B23" s="58" t="s">
        <v>136</v>
      </c>
      <c r="C23" s="62">
        <v>156</v>
      </c>
      <c r="D23" s="62">
        <v>7</v>
      </c>
      <c r="E23" s="62">
        <v>0</v>
      </c>
      <c r="F23" s="62">
        <v>0</v>
      </c>
      <c r="G23" s="62">
        <v>11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8</v>
      </c>
      <c r="N23" s="62">
        <v>90</v>
      </c>
    </row>
    <row r="24" spans="2:14" x14ac:dyDescent="0.35">
      <c r="B24" s="67" t="s">
        <v>137</v>
      </c>
      <c r="C24" s="68">
        <v>-15</v>
      </c>
      <c r="D24" s="68">
        <v>-20</v>
      </c>
      <c r="E24" s="68">
        <v>-13</v>
      </c>
      <c r="F24" s="68">
        <v>-13</v>
      </c>
      <c r="G24" s="68">
        <v>-8</v>
      </c>
      <c r="H24" s="68">
        <v>-18</v>
      </c>
      <c r="I24" s="68">
        <v>-3</v>
      </c>
      <c r="J24" s="68">
        <v>-2</v>
      </c>
      <c r="K24" s="68">
        <v>-1</v>
      </c>
      <c r="L24" s="68">
        <v>-1</v>
      </c>
      <c r="M24" s="68">
        <v>-2</v>
      </c>
      <c r="N24" s="68">
        <v>-54</v>
      </c>
    </row>
    <row r="25" spans="2:14" x14ac:dyDescent="0.35">
      <c r="B25" s="57" t="s">
        <v>138</v>
      </c>
      <c r="C25" s="61">
        <v>-48</v>
      </c>
      <c r="D25" s="61">
        <v>-16</v>
      </c>
      <c r="E25" s="61">
        <v>-28</v>
      </c>
      <c r="F25" s="61">
        <v>-25</v>
      </c>
      <c r="G25" s="61">
        <v>-49</v>
      </c>
      <c r="H25" s="61">
        <v>-98</v>
      </c>
      <c r="I25" s="61">
        <v>-44</v>
      </c>
      <c r="J25" s="61">
        <v>-41</v>
      </c>
      <c r="K25" s="61">
        <v>-40</v>
      </c>
      <c r="L25" s="61">
        <v>-41</v>
      </c>
      <c r="M25" s="61">
        <v>-46</v>
      </c>
      <c r="N25" s="61">
        <v>-50</v>
      </c>
    </row>
    <row r="26" spans="2:14" x14ac:dyDescent="0.35">
      <c r="B26" s="57" t="s">
        <v>139</v>
      </c>
      <c r="C26" s="61">
        <v>-4239</v>
      </c>
      <c r="D26" s="61">
        <v>-4876</v>
      </c>
      <c r="E26" s="61">
        <v>-5133</v>
      </c>
      <c r="F26" s="61">
        <v>-6994</v>
      </c>
      <c r="G26" s="61">
        <v>-5952</v>
      </c>
      <c r="H26" s="61">
        <v>-6519</v>
      </c>
      <c r="I26" s="61">
        <v>-7302</v>
      </c>
      <c r="J26" s="61">
        <v>-18881</v>
      </c>
      <c r="K26" s="61">
        <v>-13788</v>
      </c>
      <c r="L26" s="61">
        <v>-15418</v>
      </c>
      <c r="M26" s="61">
        <v>-19899</v>
      </c>
      <c r="N26" s="61">
        <v>-17782</v>
      </c>
    </row>
    <row r="27" spans="2:14" x14ac:dyDescent="0.35">
      <c r="B27" s="57" t="s">
        <v>140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-49</v>
      </c>
      <c r="J27" s="61">
        <v>-55</v>
      </c>
      <c r="K27" s="61">
        <v>-59</v>
      </c>
      <c r="L27" s="61">
        <v>-59</v>
      </c>
      <c r="M27" s="61">
        <v>-67</v>
      </c>
      <c r="N27" s="61">
        <v>-66</v>
      </c>
    </row>
    <row r="28" spans="2:14" x14ac:dyDescent="0.35">
      <c r="B28" s="57" t="s">
        <v>141</v>
      </c>
      <c r="C28" s="61">
        <v>-667</v>
      </c>
      <c r="D28" s="61">
        <v>-734</v>
      </c>
      <c r="E28" s="61">
        <v>-971</v>
      </c>
      <c r="F28" s="61">
        <v>-1335</v>
      </c>
      <c r="G28" s="61">
        <v>-1136</v>
      </c>
      <c r="H28" s="61">
        <v>-1203</v>
      </c>
      <c r="I28" s="61">
        <v>-1409</v>
      </c>
      <c r="J28" s="61">
        <v>55</v>
      </c>
      <c r="K28" s="61">
        <v>15</v>
      </c>
      <c r="L28" s="61">
        <v>35</v>
      </c>
      <c r="M28" s="61">
        <v>12</v>
      </c>
      <c r="N28" s="61">
        <v>28</v>
      </c>
    </row>
    <row r="29" spans="2:14" x14ac:dyDescent="0.35">
      <c r="B29" s="57" t="s">
        <v>35</v>
      </c>
      <c r="C29" s="61">
        <v>-32</v>
      </c>
      <c r="D29" s="61">
        <v>-93</v>
      </c>
      <c r="E29" s="61">
        <v>266</v>
      </c>
      <c r="F29" s="61">
        <v>75</v>
      </c>
      <c r="G29" s="61">
        <v>-166</v>
      </c>
      <c r="H29" s="61">
        <v>169</v>
      </c>
      <c r="I29" s="61">
        <v>334</v>
      </c>
      <c r="J29" s="61">
        <v>-367</v>
      </c>
      <c r="K29" s="61">
        <v>-43</v>
      </c>
      <c r="L29" s="61">
        <v>139</v>
      </c>
      <c r="M29" s="61">
        <v>191</v>
      </c>
      <c r="N29" s="61">
        <v>26</v>
      </c>
    </row>
    <row r="30" spans="2:14" x14ac:dyDescent="0.35">
      <c r="B30" s="57" t="s">
        <v>142</v>
      </c>
      <c r="C30" s="61">
        <v>4495</v>
      </c>
      <c r="D30" s="61">
        <v>6552</v>
      </c>
      <c r="E30" s="61">
        <v>7459</v>
      </c>
      <c r="F30" s="61">
        <v>7556</v>
      </c>
      <c r="G30" s="61">
        <v>10371</v>
      </c>
      <c r="H30" s="61">
        <v>9442</v>
      </c>
      <c r="I30" s="61">
        <v>12276</v>
      </c>
      <c r="J30" s="61">
        <v>10693</v>
      </c>
      <c r="K30" s="61">
        <v>13767</v>
      </c>
      <c r="L30" s="61">
        <v>16184</v>
      </c>
      <c r="M30" s="61">
        <v>13724</v>
      </c>
      <c r="N30" s="61">
        <v>15524</v>
      </c>
    </row>
    <row r="31" spans="2:14" ht="15" thickBot="1" x14ac:dyDescent="0.4">
      <c r="B31" s="57" t="s">
        <v>143</v>
      </c>
      <c r="C31" s="61">
        <v>0.87</v>
      </c>
      <c r="D31" s="61">
        <v>1</v>
      </c>
      <c r="E31" s="61">
        <v>1.02</v>
      </c>
      <c r="F31" s="61">
        <v>1.04</v>
      </c>
      <c r="G31" s="61">
        <v>1.1599999999999999</v>
      </c>
      <c r="H31" s="61">
        <v>0.99</v>
      </c>
      <c r="I31" s="61">
        <v>1.02</v>
      </c>
      <c r="J31" s="61">
        <v>0.99</v>
      </c>
      <c r="K31" s="61">
        <v>1.01</v>
      </c>
      <c r="L31" s="61">
        <v>0.98</v>
      </c>
      <c r="M31" s="61">
        <v>0.92</v>
      </c>
      <c r="N31" s="61">
        <v>0.93</v>
      </c>
    </row>
    <row r="32" spans="2:14" x14ac:dyDescent="0.35">
      <c r="B32" s="70" t="s">
        <v>35</v>
      </c>
      <c r="C32" s="71">
        <v>-1633</v>
      </c>
      <c r="D32" s="71">
        <v>-154</v>
      </c>
      <c r="E32" s="71">
        <v>416</v>
      </c>
      <c r="F32" s="71">
        <v>1529</v>
      </c>
      <c r="G32" s="71">
        <v>1672</v>
      </c>
      <c r="H32" s="71">
        <v>-1394</v>
      </c>
      <c r="I32" s="71">
        <v>-1370</v>
      </c>
      <c r="J32" s="71">
        <v>113</v>
      </c>
      <c r="K32" s="71">
        <v>6</v>
      </c>
      <c r="L32" s="71">
        <v>1037</v>
      </c>
      <c r="M32" s="71">
        <v>394</v>
      </c>
      <c r="N32" s="71">
        <v>-659</v>
      </c>
    </row>
    <row r="33" spans="2:14" x14ac:dyDescent="0.35">
      <c r="B33" s="59" t="s">
        <v>142</v>
      </c>
      <c r="C33" s="63">
        <v>-3661</v>
      </c>
      <c r="D33" s="63">
        <v>-1729</v>
      </c>
      <c r="E33" s="63">
        <v>-4780</v>
      </c>
      <c r="F33" s="63">
        <v>-5109</v>
      </c>
      <c r="G33" s="63">
        <v>-11546</v>
      </c>
      <c r="H33" s="63">
        <v>-8251</v>
      </c>
      <c r="I33" s="63">
        <v>13283</v>
      </c>
      <c r="J33" s="63">
        <v>3328</v>
      </c>
      <c r="K33" s="63">
        <v>-13241</v>
      </c>
      <c r="L33" s="63">
        <v>-15303</v>
      </c>
      <c r="M33" s="63">
        <v>-6633</v>
      </c>
      <c r="N33" s="63">
        <v>2545</v>
      </c>
    </row>
    <row r="34" spans="2:14" x14ac:dyDescent="0.35">
      <c r="B34" s="60" t="s">
        <v>143</v>
      </c>
      <c r="C34" s="64">
        <v>0.31</v>
      </c>
      <c r="D34" s="64">
        <v>0.43</v>
      </c>
      <c r="E34" s="64">
        <v>0.2</v>
      </c>
      <c r="F34" s="64">
        <v>0.25</v>
      </c>
      <c r="G34" s="64">
        <v>-0.09</v>
      </c>
      <c r="H34" s="64">
        <v>0.08</v>
      </c>
      <c r="I34" s="64">
        <v>1.72</v>
      </c>
      <c r="J34" s="64">
        <v>0.74</v>
      </c>
      <c r="K34" s="64">
        <v>-0.21</v>
      </c>
      <c r="L34" s="64">
        <v>-7.0000000000000007E-2</v>
      </c>
      <c r="M34" s="64">
        <v>0.26</v>
      </c>
      <c r="N34" s="64">
        <v>0.48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632D-19AF-45B8-BE33-93BD3A5B3350}">
  <sheetPr>
    <tabColor rgb="FF002060"/>
  </sheetPr>
  <dimension ref="A2:O107"/>
  <sheetViews>
    <sheetView showGridLines="0" tabSelected="1" topLeftCell="A91" zoomScale="79" workbookViewId="0">
      <selection activeCell="B107" sqref="B107"/>
    </sheetView>
  </sheetViews>
  <sheetFormatPr defaultRowHeight="14.5" x14ac:dyDescent="0.35"/>
  <cols>
    <col min="1" max="1" width="2.1796875" customWidth="1"/>
    <col min="2" max="2" width="50.81640625" bestFit="1" customWidth="1"/>
    <col min="3" max="3" width="13.08984375" bestFit="1" customWidth="1"/>
    <col min="4" max="4" width="13.1796875" bestFit="1" customWidth="1"/>
    <col min="5" max="9" width="13.90625" bestFit="1" customWidth="1"/>
    <col min="10" max="12" width="13.1796875" bestFit="1" customWidth="1"/>
    <col min="13" max="13" width="13" bestFit="1" customWidth="1"/>
    <col min="14" max="14" width="27.7265625" bestFit="1" customWidth="1"/>
  </cols>
  <sheetData>
    <row r="2" spans="1:14" ht="13.5" customHeight="1" x14ac:dyDescent="0.35">
      <c r="A2" t="s">
        <v>109</v>
      </c>
      <c r="B2" s="22" t="str">
        <f>" historical fiancial statement " &amp;'Data Sheet'!B1</f>
        <v xml:space="preserve"> historical fiancial statement ITC LTD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4" ht="13.5" customHeight="1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x14ac:dyDescent="0.35">
      <c r="B4" s="74" t="s">
        <v>81</v>
      </c>
      <c r="C4" s="75">
        <f>'Data Sheet'!B16</f>
        <v>42460</v>
      </c>
      <c r="D4" s="75">
        <f>'Data Sheet'!C16</f>
        <v>42825</v>
      </c>
      <c r="E4" s="75">
        <f>'Data Sheet'!D16</f>
        <v>43190</v>
      </c>
      <c r="F4" s="75">
        <f>'Data Sheet'!E16</f>
        <v>43555</v>
      </c>
      <c r="G4" s="75">
        <f>'Data Sheet'!F16</f>
        <v>43921</v>
      </c>
      <c r="H4" s="75">
        <f>'Data Sheet'!G16</f>
        <v>44286</v>
      </c>
      <c r="I4" s="75">
        <f>'Data Sheet'!H16</f>
        <v>44651</v>
      </c>
      <c r="J4" s="75">
        <f>'Data Sheet'!I16</f>
        <v>45016</v>
      </c>
      <c r="K4" s="75">
        <f>'Data Sheet'!J16</f>
        <v>45382</v>
      </c>
      <c r="L4" s="75">
        <f>'Data Sheet'!K16</f>
        <v>45747</v>
      </c>
      <c r="M4" s="76" t="s">
        <v>84</v>
      </c>
    </row>
    <row r="5" spans="1:14" ht="15" thickBot="1" x14ac:dyDescent="0.4">
      <c r="A5" t="s">
        <v>109</v>
      </c>
      <c r="B5" s="22" t="s">
        <v>82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t="15.5" thickTop="1" thickBot="1" x14ac:dyDescent="0.4">
      <c r="B6" s="35" t="s">
        <v>83</v>
      </c>
      <c r="C6" s="41">
        <f>IFERROR('Data Sheet'!B17,0)</f>
        <v>39192.1</v>
      </c>
      <c r="D6" s="41">
        <f>IFERROR('Data Sheet'!C17,0)</f>
        <v>42767.6</v>
      </c>
      <c r="E6" s="41">
        <f>IFERROR('Data Sheet'!D17,0)</f>
        <v>43448.94</v>
      </c>
      <c r="F6" s="41">
        <f>IFERROR('Data Sheet'!E17,0)</f>
        <v>48339.58</v>
      </c>
      <c r="G6" s="41">
        <f>IFERROR('Data Sheet'!F17,0)</f>
        <v>49387.7</v>
      </c>
      <c r="H6" s="41">
        <f>IFERROR('Data Sheet'!G17,0)</f>
        <v>49257.45</v>
      </c>
      <c r="I6" s="41">
        <f>IFERROR('Data Sheet'!H17,0)</f>
        <v>60644.54</v>
      </c>
      <c r="J6" s="41">
        <f>IFERROR('Data Sheet'!I17,0)</f>
        <v>70919.03</v>
      </c>
      <c r="K6" s="41">
        <f>IFERROR('Data Sheet'!J17,0)</f>
        <v>67931.94</v>
      </c>
      <c r="L6" s="41">
        <f>IFERROR('Data Sheet'!K17,0)</f>
        <v>75323.34</v>
      </c>
      <c r="M6" s="41">
        <f>IFERROR(SUM('Data Sheet'!B42:K42),0)</f>
        <v>188374.57</v>
      </c>
      <c r="N6" s="35"/>
    </row>
    <row r="7" spans="1:14" ht="15" thickTop="1" x14ac:dyDescent="0.35">
      <c r="B7" s="24" t="s">
        <v>85</v>
      </c>
      <c r="C7" s="27" t="s">
        <v>86</v>
      </c>
      <c r="D7" s="25">
        <f>D6/C6-1</f>
        <v>9.1230120355888067E-2</v>
      </c>
      <c r="E7" s="25">
        <f t="shared" ref="E7:L7" si="0">E6/D6-1</f>
        <v>1.5931218960147486E-2</v>
      </c>
      <c r="F7" s="25">
        <f t="shared" si="0"/>
        <v>0.11256062863673999</v>
      </c>
      <c r="G7" s="25">
        <f t="shared" si="0"/>
        <v>2.1682439110972673E-2</v>
      </c>
      <c r="H7" s="25">
        <f t="shared" si="0"/>
        <v>-2.6372963308678443E-3</v>
      </c>
      <c r="I7" s="25">
        <f t="shared" si="0"/>
        <v>0.23117497962237188</v>
      </c>
      <c r="J7" s="25">
        <f t="shared" si="0"/>
        <v>0.1694215175842706</v>
      </c>
      <c r="K7" s="25">
        <f t="shared" si="0"/>
        <v>-4.2119724423754779E-2</v>
      </c>
      <c r="L7" s="25">
        <f t="shared" si="0"/>
        <v>0.10880596078957838</v>
      </c>
      <c r="M7" s="25">
        <f>M6/L6-1</f>
        <v>1.5008791431712933</v>
      </c>
    </row>
    <row r="8" spans="1:14" x14ac:dyDescent="0.35">
      <c r="C8" s="23"/>
    </row>
    <row r="9" spans="1:14" x14ac:dyDescent="0.35">
      <c r="B9" s="28" t="s">
        <v>87</v>
      </c>
      <c r="C9" s="40">
        <f>IFERROR(SUM('Data Sheet'!B18,'Data Sheet'!B20:B22)-1*'Data Sheet'!B19,0)</f>
        <v>19162.939999999999</v>
      </c>
      <c r="D9" s="40">
        <f>IFERROR(SUM('Data Sheet'!C18,'Data Sheet'!C20:C22)-1*'Data Sheet'!C19,0)</f>
        <v>21949.119999999999</v>
      </c>
      <c r="E9" s="40">
        <f>IFERROR(SUM('Data Sheet'!D18,'Data Sheet'!D20:D22)-1*'Data Sheet'!D19,0)</f>
        <v>21967.5</v>
      </c>
      <c r="F9" s="40">
        <f>IFERROR(SUM('Data Sheet'!E18,'Data Sheet'!E20:E22)-1*'Data Sheet'!E19,0)</f>
        <v>24215.95</v>
      </c>
      <c r="G9" s="40">
        <f>IFERROR(SUM('Data Sheet'!F18,'Data Sheet'!F20:F22)-1*'Data Sheet'!F19,0)</f>
        <v>24330.399999999998</v>
      </c>
      <c r="H9" s="40">
        <f>IFERROR(SUM('Data Sheet'!G18,'Data Sheet'!G20:G22)-1*'Data Sheet'!G19,0)</f>
        <v>26881.51</v>
      </c>
      <c r="I9" s="40">
        <f>IFERROR(SUM('Data Sheet'!H18,'Data Sheet'!H20:H22)-1*'Data Sheet'!H19,0)</f>
        <v>34053.060000000005</v>
      </c>
      <c r="J9" s="40">
        <f>IFERROR(SUM('Data Sheet'!I18,'Data Sheet'!I20:I22)-1*'Data Sheet'!I19,0)</f>
        <v>38302.130000000005</v>
      </c>
      <c r="K9" s="40">
        <f>IFERROR(SUM('Data Sheet'!J18,'Data Sheet'!J20:J22)-1*'Data Sheet'!J19,0)</f>
        <v>35665.990000000005</v>
      </c>
      <c r="L9" s="40">
        <f>IFERROR(SUM('Data Sheet'!K18,'Data Sheet'!K20:K22)-1*'Data Sheet'!K19,0)</f>
        <v>41469.21</v>
      </c>
      <c r="M9" s="40">
        <f>IFERROR(SUM('Data Sheet'!H43:K43),0)</f>
        <v>52895.65</v>
      </c>
      <c r="N9" t="str">
        <f ca="1">_xlfn.FORMULATEXT(L9)</f>
        <v>=IFERROR(SUM('Data Sheet'!K18,'Data Sheet'!K20:K22)-1*'Data Sheet'!K19,0)</v>
      </c>
    </row>
    <row r="10" spans="1:14" x14ac:dyDescent="0.35">
      <c r="B10" t="s">
        <v>88</v>
      </c>
      <c r="C10" s="5">
        <f>C9/C6</f>
        <v>0.48894904840516329</v>
      </c>
      <c r="D10" s="5">
        <f t="shared" ref="D10:L10" si="1">D9/D6</f>
        <v>0.51321841768067411</v>
      </c>
      <c r="E10" s="5">
        <f t="shared" si="1"/>
        <v>0.50559346211898382</v>
      </c>
      <c r="F10" s="5">
        <f t="shared" si="1"/>
        <v>0.50095491106873502</v>
      </c>
      <c r="G10" s="5">
        <f t="shared" si="1"/>
        <v>0.49264088021916386</v>
      </c>
      <c r="H10" s="5">
        <f t="shared" si="1"/>
        <v>0.54573490913557243</v>
      </c>
      <c r="I10" s="5">
        <f t="shared" si="1"/>
        <v>0.56151897598695621</v>
      </c>
      <c r="J10" s="5">
        <f t="shared" si="1"/>
        <v>0.54008254202010386</v>
      </c>
      <c r="K10" s="5">
        <f t="shared" si="1"/>
        <v>0.52502534154037117</v>
      </c>
      <c r="L10" s="5">
        <f t="shared" si="1"/>
        <v>0.55054927197864567</v>
      </c>
      <c r="M10" s="5">
        <f>M9/M6</f>
        <v>0.28080037554962967</v>
      </c>
    </row>
    <row r="12" spans="1:14" x14ac:dyDescent="0.35">
      <c r="B12" s="32" t="s">
        <v>89</v>
      </c>
      <c r="C12" s="33">
        <f>C6-C9</f>
        <v>20029.16</v>
      </c>
      <c r="D12" s="33">
        <f t="shared" ref="D12:M12" si="2">D6-D9</f>
        <v>20818.48</v>
      </c>
      <c r="E12" s="33">
        <f t="shared" si="2"/>
        <v>21481.440000000002</v>
      </c>
      <c r="F12" s="33">
        <f t="shared" si="2"/>
        <v>24123.63</v>
      </c>
      <c r="G12" s="33">
        <f t="shared" si="2"/>
        <v>25057.3</v>
      </c>
      <c r="H12" s="33">
        <f t="shared" si="2"/>
        <v>22375.94</v>
      </c>
      <c r="I12" s="33">
        <f t="shared" si="2"/>
        <v>26591.479999999996</v>
      </c>
      <c r="J12" s="33">
        <f t="shared" si="2"/>
        <v>32616.899999999994</v>
      </c>
      <c r="K12" s="33">
        <f t="shared" si="2"/>
        <v>32265.949999999997</v>
      </c>
      <c r="L12" s="33">
        <f t="shared" si="2"/>
        <v>33854.129999999997</v>
      </c>
      <c r="M12" s="33">
        <f t="shared" si="2"/>
        <v>135478.92000000001</v>
      </c>
      <c r="N12" s="32"/>
    </row>
    <row r="14" spans="1:14" x14ac:dyDescent="0.35">
      <c r="B14" t="s">
        <v>90</v>
      </c>
      <c r="C14" s="36">
        <f>IFERROR(SUM('Data Sheet'!B23:B24),0)</f>
        <v>5497.67</v>
      </c>
      <c r="D14" s="36">
        <f>IFERROR(SUM('Data Sheet'!C23:C24),0)</f>
        <v>5348.9699999999993</v>
      </c>
      <c r="E14" s="36">
        <f>IFERROR(SUM('Data Sheet'!D23:D24),0)</f>
        <v>4960.8500000000004</v>
      </c>
      <c r="F14" s="36">
        <f>IFERROR(SUM('Data Sheet'!E23:E24),0)</f>
        <v>5586.24</v>
      </c>
      <c r="G14" s="36">
        <f>IFERROR(SUM('Data Sheet'!F23:F24),0)</f>
        <v>5713.76</v>
      </c>
      <c r="H14" s="36">
        <f>IFERROR(SUM('Data Sheet'!G23:G24),0)</f>
        <v>5311.1600000000008</v>
      </c>
      <c r="I14" s="36">
        <f>IFERROR(SUM('Data Sheet'!H23:H24),0)</f>
        <v>5968.33</v>
      </c>
      <c r="J14" s="36">
        <f>IFERROR(SUM('Data Sheet'!I23:I24),0)</f>
        <v>6912.6399999999994</v>
      </c>
      <c r="K14" s="36">
        <f>IFERROR(SUM('Data Sheet'!J23:J24),0)</f>
        <v>7078.42</v>
      </c>
      <c r="L14" s="36">
        <f>IFERROR(SUM('Data Sheet'!K23:K24),0)</f>
        <v>8014.68</v>
      </c>
      <c r="M14" s="36">
        <f>IFERROR('Data Sheet'!M23,0)</f>
        <v>27974.07</v>
      </c>
    </row>
    <row r="15" spans="1:14" x14ac:dyDescent="0.35">
      <c r="B15" s="28" t="s">
        <v>91</v>
      </c>
      <c r="C15" s="29">
        <f>C14/C6</f>
        <v>0.14027495337070481</v>
      </c>
      <c r="D15" s="29">
        <f t="shared" ref="D15:L15" si="3">D14/D6</f>
        <v>0.12507061420327537</v>
      </c>
      <c r="E15" s="29">
        <f t="shared" si="3"/>
        <v>0.11417654838069698</v>
      </c>
      <c r="F15" s="29">
        <f t="shared" si="3"/>
        <v>0.11556244386070379</v>
      </c>
      <c r="G15" s="29">
        <f t="shared" si="3"/>
        <v>0.11569196378855465</v>
      </c>
      <c r="H15" s="29">
        <f t="shared" si="3"/>
        <v>0.10782450167436604</v>
      </c>
      <c r="I15" s="29">
        <f t="shared" si="3"/>
        <v>9.8414960357519399E-2</v>
      </c>
      <c r="J15" s="29">
        <f t="shared" si="3"/>
        <v>9.7472286352478302E-2</v>
      </c>
      <c r="K15" s="29">
        <f t="shared" si="3"/>
        <v>0.10419870240714456</v>
      </c>
      <c r="L15" s="29">
        <f t="shared" si="3"/>
        <v>0.10640367248717331</v>
      </c>
      <c r="M15" s="29">
        <f>M14/M6</f>
        <v>0.14850236950773132</v>
      </c>
    </row>
    <row r="16" spans="1:14" ht="15" thickBot="1" x14ac:dyDescent="0.4"/>
    <row r="17" spans="2:14" ht="15" thickBot="1" x14ac:dyDescent="0.4">
      <c r="B17" s="30" t="s">
        <v>92</v>
      </c>
      <c r="C17" s="31">
        <f>C12-C14</f>
        <v>14531.49</v>
      </c>
      <c r="D17" s="31">
        <f t="shared" ref="D17:L17" si="4">D12-D14</f>
        <v>15469.51</v>
      </c>
      <c r="E17" s="31">
        <f t="shared" si="4"/>
        <v>16520.590000000004</v>
      </c>
      <c r="F17" s="31">
        <f t="shared" si="4"/>
        <v>18537.39</v>
      </c>
      <c r="G17" s="31">
        <f t="shared" si="4"/>
        <v>19343.54</v>
      </c>
      <c r="H17" s="31">
        <f t="shared" si="4"/>
        <v>17064.78</v>
      </c>
      <c r="I17" s="31">
        <f t="shared" si="4"/>
        <v>20623.149999999994</v>
      </c>
      <c r="J17" s="31">
        <f t="shared" si="4"/>
        <v>25704.259999999995</v>
      </c>
      <c r="K17" s="31">
        <f t="shared" si="4"/>
        <v>25187.53</v>
      </c>
      <c r="L17" s="31">
        <f t="shared" si="4"/>
        <v>25839.449999999997</v>
      </c>
      <c r="M17" s="31"/>
      <c r="N17" s="30"/>
    </row>
    <row r="18" spans="2:14" x14ac:dyDescent="0.35">
      <c r="B18" s="28" t="s">
        <v>93</v>
      </c>
      <c r="C18" s="29">
        <f t="shared" ref="C18:M18" si="5">C17/C6</f>
        <v>0.37077599822413193</v>
      </c>
      <c r="D18" s="29">
        <f t="shared" si="5"/>
        <v>0.36171096811605047</v>
      </c>
      <c r="E18" s="29">
        <f t="shared" si="5"/>
        <v>0.38022998950031928</v>
      </c>
      <c r="F18" s="29">
        <f t="shared" si="5"/>
        <v>0.38348264507056118</v>
      </c>
      <c r="G18" s="29">
        <f t="shared" si="5"/>
        <v>0.39166715599228152</v>
      </c>
      <c r="H18" s="29">
        <f t="shared" si="5"/>
        <v>0.3464405891900616</v>
      </c>
      <c r="I18" s="29">
        <f t="shared" si="5"/>
        <v>0.34006606365552439</v>
      </c>
      <c r="J18" s="29">
        <f t="shared" si="5"/>
        <v>0.36244517162741785</v>
      </c>
      <c r="K18" s="29">
        <f t="shared" si="5"/>
        <v>0.37077595605248426</v>
      </c>
      <c r="L18" s="29">
        <f t="shared" si="5"/>
        <v>0.34304705553418102</v>
      </c>
      <c r="M18" s="29">
        <f t="shared" si="5"/>
        <v>0</v>
      </c>
    </row>
    <row r="20" spans="2:14" x14ac:dyDescent="0.35">
      <c r="B20" t="s">
        <v>94</v>
      </c>
      <c r="C20" s="38">
        <f>IFERROR('Data Sheet'!B27,0)</f>
        <v>78.13</v>
      </c>
      <c r="D20" s="38">
        <f>IFERROR('Data Sheet'!C27,0)</f>
        <v>49.03</v>
      </c>
      <c r="E20" s="38">
        <f>IFERROR('Data Sheet'!D27,0)</f>
        <v>115.01</v>
      </c>
      <c r="F20" s="38">
        <f>IFERROR('Data Sheet'!E27,0)</f>
        <v>71.400000000000006</v>
      </c>
      <c r="G20" s="38">
        <f>IFERROR('Data Sheet'!F27,0)</f>
        <v>81.38</v>
      </c>
      <c r="H20" s="38">
        <f>IFERROR('Data Sheet'!G27,0)</f>
        <v>57.97</v>
      </c>
      <c r="I20" s="38">
        <f>IFERROR('Data Sheet'!H27,0)</f>
        <v>59.99</v>
      </c>
      <c r="J20" s="38">
        <f>IFERROR('Data Sheet'!I27,0)</f>
        <v>77.77</v>
      </c>
      <c r="K20" s="38">
        <f>IFERROR('Data Sheet'!J27,0)</f>
        <v>39.11</v>
      </c>
      <c r="L20" s="38">
        <f>IFERROR('Data Sheet'!K27,0)</f>
        <v>45.06</v>
      </c>
      <c r="M20" s="38">
        <f>IFERROR(SUM('Data Sheet'!H27:K27),0)</f>
        <v>221.93</v>
      </c>
    </row>
    <row r="21" spans="2:14" x14ac:dyDescent="0.35">
      <c r="B21" s="28" t="s">
        <v>95</v>
      </c>
      <c r="C21" s="29">
        <f>C20/C6</f>
        <v>1.9935139989946953E-3</v>
      </c>
      <c r="D21" s="29">
        <f t="shared" ref="D21:M21" si="6">D20/D6</f>
        <v>1.146428604831695E-3</v>
      </c>
      <c r="E21" s="29">
        <f t="shared" si="6"/>
        <v>2.647015094039118E-3</v>
      </c>
      <c r="F21" s="29">
        <f t="shared" si="6"/>
        <v>1.4770504832685763E-3</v>
      </c>
      <c r="G21" s="29">
        <f t="shared" si="6"/>
        <v>1.647778697934911E-3</v>
      </c>
      <c r="H21" s="29">
        <f t="shared" si="6"/>
        <v>1.1768778123918311E-3</v>
      </c>
      <c r="I21" s="29">
        <f t="shared" si="6"/>
        <v>9.8920694262006107E-4</v>
      </c>
      <c r="J21" s="29">
        <f t="shared" si="6"/>
        <v>1.0966027031108574E-3</v>
      </c>
      <c r="K21" s="29">
        <f t="shared" si="6"/>
        <v>5.7572329010477244E-4</v>
      </c>
      <c r="L21" s="29">
        <f t="shared" si="6"/>
        <v>5.9822094984104534E-4</v>
      </c>
      <c r="M21" s="29">
        <f t="shared" si="6"/>
        <v>1.1781314218792908E-3</v>
      </c>
    </row>
    <row r="23" spans="2:14" x14ac:dyDescent="0.35">
      <c r="B23" t="s">
        <v>10</v>
      </c>
      <c r="C23" s="38">
        <f>IFERROR('Data Sheet'!B26,0)</f>
        <v>1077.4000000000001</v>
      </c>
      <c r="D23" s="38">
        <f>IFERROR('Data Sheet'!C26,0)</f>
        <v>1152.79</v>
      </c>
      <c r="E23" s="38">
        <f>IFERROR('Data Sheet'!D26,0)</f>
        <v>1236.28</v>
      </c>
      <c r="F23" s="38">
        <f>IFERROR('Data Sheet'!E26,0)</f>
        <v>1396.61</v>
      </c>
      <c r="G23" s="38">
        <f>IFERROR('Data Sheet'!F26,0)</f>
        <v>1644.91</v>
      </c>
      <c r="H23" s="38">
        <f>IFERROR('Data Sheet'!G26,0)</f>
        <v>1645.59</v>
      </c>
      <c r="I23" s="38">
        <f>IFERROR('Data Sheet'!H26,0)</f>
        <v>1732.41</v>
      </c>
      <c r="J23" s="38">
        <f>IFERROR('Data Sheet'!I26,0)</f>
        <v>1809.01</v>
      </c>
      <c r="K23" s="38">
        <f>IFERROR('Data Sheet'!J26,0)</f>
        <v>1518.05</v>
      </c>
      <c r="L23" s="38">
        <f>IFERROR('Data Sheet'!K26,0)</f>
        <v>1646.32</v>
      </c>
      <c r="M23" s="38">
        <f>IFERROR(SUM('Data Sheet'!H26:K26),0)</f>
        <v>6705.79</v>
      </c>
    </row>
    <row r="24" spans="2:14" x14ac:dyDescent="0.35">
      <c r="B24" s="28" t="s">
        <v>96</v>
      </c>
      <c r="C24" s="29">
        <f>C23/C6</f>
        <v>2.7490234001240049E-2</v>
      </c>
      <c r="D24" s="29">
        <f t="shared" ref="D24:M24" si="7">D23/D6</f>
        <v>2.6954750792656124E-2</v>
      </c>
      <c r="E24" s="29">
        <f t="shared" si="7"/>
        <v>2.845362855802696E-2</v>
      </c>
      <c r="F24" s="29">
        <f t="shared" si="7"/>
        <v>2.8891645314253867E-2</v>
      </c>
      <c r="G24" s="29">
        <f t="shared" si="7"/>
        <v>3.3306066085280348E-2</v>
      </c>
      <c r="H24" s="29">
        <f t="shared" si="7"/>
        <v>3.3407941336792708E-2</v>
      </c>
      <c r="I24" s="29">
        <f t="shared" si="7"/>
        <v>2.8566627762367396E-2</v>
      </c>
      <c r="J24" s="29">
        <f t="shared" si="7"/>
        <v>2.550810410125463E-2</v>
      </c>
      <c r="K24" s="29">
        <f t="shared" si="7"/>
        <v>2.2346631054552542E-2</v>
      </c>
      <c r="L24" s="29">
        <f t="shared" si="7"/>
        <v>2.1856704707996222E-2</v>
      </c>
      <c r="M24" s="29">
        <f t="shared" si="7"/>
        <v>3.5598170177641282E-2</v>
      </c>
    </row>
    <row r="25" spans="2:14" x14ac:dyDescent="0.35"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2:14" x14ac:dyDescent="0.35">
      <c r="B26" s="21" t="s">
        <v>100</v>
      </c>
      <c r="C26" s="39">
        <f>IFERROR(C17-SUM(C20,C23),0)</f>
        <v>13375.96</v>
      </c>
      <c r="D26" s="39">
        <f t="shared" ref="D26:L26" si="8">IFERROR(D17-SUM(D20,D23),0)</f>
        <v>14267.69</v>
      </c>
      <c r="E26" s="39">
        <f t="shared" si="8"/>
        <v>15169.300000000003</v>
      </c>
      <c r="F26" s="39">
        <f t="shared" si="8"/>
        <v>17069.38</v>
      </c>
      <c r="G26" s="39">
        <f t="shared" si="8"/>
        <v>17617.25</v>
      </c>
      <c r="H26" s="39">
        <f t="shared" si="8"/>
        <v>15361.22</v>
      </c>
      <c r="I26" s="39">
        <f t="shared" si="8"/>
        <v>18830.749999999993</v>
      </c>
      <c r="J26" s="39">
        <f t="shared" si="8"/>
        <v>23817.479999999996</v>
      </c>
      <c r="K26" s="39">
        <f t="shared" si="8"/>
        <v>23630.37</v>
      </c>
      <c r="L26" s="39">
        <f t="shared" si="8"/>
        <v>24148.069999999996</v>
      </c>
      <c r="M26" s="34"/>
      <c r="N26" s="21" t="str">
        <f ca="1">_xlfn.FORMULATEXT(L26)</f>
        <v>=IFERROR(L17-SUM(L20,L23),0)</v>
      </c>
    </row>
    <row r="27" spans="2:14" x14ac:dyDescent="0.35">
      <c r="B27" s="28" t="s">
        <v>101</v>
      </c>
      <c r="C27" s="29">
        <f>C26/C6</f>
        <v>0.34129225022389714</v>
      </c>
      <c r="D27" s="29">
        <f t="shared" ref="D27:M27" si="9">D26/D6</f>
        <v>0.33360978871856267</v>
      </c>
      <c r="E27" s="29">
        <f t="shared" si="9"/>
        <v>0.34912934584825317</v>
      </c>
      <c r="F27" s="29">
        <f t="shared" si="9"/>
        <v>0.3531139492730388</v>
      </c>
      <c r="G27" s="29">
        <f t="shared" si="9"/>
        <v>0.35671331120906624</v>
      </c>
      <c r="H27" s="29">
        <f t="shared" si="9"/>
        <v>0.31185577004087706</v>
      </c>
      <c r="I27" s="29">
        <f t="shared" si="9"/>
        <v>0.31051022895053687</v>
      </c>
      <c r="J27" s="29">
        <f t="shared" si="9"/>
        <v>0.33584046482305235</v>
      </c>
      <c r="K27" s="29">
        <f t="shared" si="9"/>
        <v>0.34785360170782698</v>
      </c>
      <c r="L27" s="29">
        <f t="shared" si="9"/>
        <v>0.32059212987634372</v>
      </c>
      <c r="M27" s="29">
        <f t="shared" si="9"/>
        <v>0</v>
      </c>
    </row>
    <row r="29" spans="2:14" x14ac:dyDescent="0.35">
      <c r="B29" t="s">
        <v>99</v>
      </c>
      <c r="C29" s="38">
        <f>IFERROR('Data Sheet'!B29,0)</f>
        <v>5358.21</v>
      </c>
      <c r="D29" s="38">
        <f>IFERROR('Data Sheet'!C29,0)</f>
        <v>5549.09</v>
      </c>
      <c r="E29" s="38">
        <f>IFERROR('Data Sheet'!D29,0)</f>
        <v>5916.43</v>
      </c>
      <c r="F29" s="38">
        <f>IFERROR('Data Sheet'!E29,0)</f>
        <v>6313.92</v>
      </c>
      <c r="G29" s="38">
        <f>IFERROR('Data Sheet'!F29,0)</f>
        <v>4441.79</v>
      </c>
      <c r="H29" s="38">
        <f>IFERROR('Data Sheet'!G29,0)</f>
        <v>4555.29</v>
      </c>
      <c r="I29" s="38">
        <f>IFERROR('Data Sheet'!H29,0)</f>
        <v>5237.34</v>
      </c>
      <c r="J29" s="38">
        <f>IFERROR('Data Sheet'!I29,0)</f>
        <v>6438.4</v>
      </c>
      <c r="K29" s="38">
        <f>IFERROR('Data Sheet'!J29,0)</f>
        <v>6209.46</v>
      </c>
      <c r="L29" s="38">
        <f>IFERROR('Data Sheet'!K29,0)</f>
        <v>6890.47</v>
      </c>
      <c r="M29" s="38">
        <f>IFERROR(SUM('Data Sheet'!H29:K29),0)</f>
        <v>24775.670000000002</v>
      </c>
    </row>
    <row r="30" spans="2:14" x14ac:dyDescent="0.35">
      <c r="B30" s="28" t="s">
        <v>97</v>
      </c>
      <c r="C30" s="29">
        <f>C29/C6</f>
        <v>0.13671658318895902</v>
      </c>
      <c r="D30" s="29">
        <f t="shared" ref="D30:M30" si="10">D29/D6</f>
        <v>0.12974985736866226</v>
      </c>
      <c r="E30" s="29">
        <f t="shared" si="10"/>
        <v>0.13616972013586523</v>
      </c>
      <c r="F30" s="29">
        <f t="shared" si="10"/>
        <v>0.13061594660110823</v>
      </c>
      <c r="G30" s="29">
        <f t="shared" si="10"/>
        <v>8.9937170591058102E-2</v>
      </c>
      <c r="H30" s="29">
        <f t="shared" si="10"/>
        <v>9.2479208728831891E-2</v>
      </c>
      <c r="I30" s="29">
        <f t="shared" si="10"/>
        <v>8.636127836075598E-2</v>
      </c>
      <c r="J30" s="29">
        <f t="shared" si="10"/>
        <v>9.0785223655766301E-2</v>
      </c>
      <c r="K30" s="29">
        <f t="shared" si="10"/>
        <v>9.1407075964560991E-2</v>
      </c>
      <c r="L30" s="29">
        <f t="shared" si="10"/>
        <v>9.1478551004243847E-2</v>
      </c>
      <c r="M30" s="29">
        <f t="shared" si="10"/>
        <v>0.13152343227644794</v>
      </c>
    </row>
    <row r="32" spans="2:14" x14ac:dyDescent="0.35">
      <c r="B32" t="s">
        <v>98</v>
      </c>
      <c r="C32" s="38">
        <f>C26-C29</f>
        <v>8017.7499999999991</v>
      </c>
      <c r="D32" s="38">
        <f t="shared" ref="D32:L32" si="11">D26-D29</f>
        <v>8718.6</v>
      </c>
      <c r="E32" s="38">
        <f t="shared" si="11"/>
        <v>9252.8700000000026</v>
      </c>
      <c r="F32" s="38">
        <f t="shared" si="11"/>
        <v>10755.460000000001</v>
      </c>
      <c r="G32" s="38">
        <f t="shared" si="11"/>
        <v>13175.46</v>
      </c>
      <c r="H32" s="38">
        <f t="shared" si="11"/>
        <v>10805.93</v>
      </c>
      <c r="I32" s="38">
        <f t="shared" si="11"/>
        <v>13593.409999999993</v>
      </c>
      <c r="J32" s="38">
        <f t="shared" si="11"/>
        <v>17379.079999999994</v>
      </c>
      <c r="K32" s="38">
        <f t="shared" si="11"/>
        <v>17420.91</v>
      </c>
      <c r="L32" s="38">
        <f t="shared" si="11"/>
        <v>17257.599999999995</v>
      </c>
    </row>
    <row r="33" spans="1:15" x14ac:dyDescent="0.35">
      <c r="B33" s="28" t="s">
        <v>102</v>
      </c>
      <c r="C33" s="29">
        <f>C32/C6</f>
        <v>0.20457566703493815</v>
      </c>
      <c r="D33" s="29">
        <f t="shared" ref="D33:L33" si="12">D32/D6</f>
        <v>0.20385993134990041</v>
      </c>
      <c r="E33" s="29">
        <f t="shared" si="12"/>
        <v>0.21295962571238797</v>
      </c>
      <c r="F33" s="29">
        <f t="shared" si="12"/>
        <v>0.22249800267193054</v>
      </c>
      <c r="G33" s="29">
        <f t="shared" si="12"/>
        <v>0.26677614061800814</v>
      </c>
      <c r="H33" s="29">
        <f t="shared" si="12"/>
        <v>0.21937656131204519</v>
      </c>
      <c r="I33" s="29">
        <f t="shared" si="12"/>
        <v>0.2241489505897809</v>
      </c>
      <c r="J33" s="29">
        <f t="shared" si="12"/>
        <v>0.24505524116728605</v>
      </c>
      <c r="K33" s="29">
        <f t="shared" si="12"/>
        <v>0.25644652574326599</v>
      </c>
      <c r="L33" s="29">
        <f t="shared" si="12"/>
        <v>0.22911357887209988</v>
      </c>
      <c r="M33" s="29"/>
    </row>
    <row r="35" spans="1:15" x14ac:dyDescent="0.35">
      <c r="B35" t="s">
        <v>103</v>
      </c>
      <c r="C35" s="42">
        <f>IFERROR('Data Sheet'!B93,0)</f>
        <v>1207.08</v>
      </c>
      <c r="D35" s="42">
        <f>IFERROR('Data Sheet'!C93,0)</f>
        <v>1214.74</v>
      </c>
      <c r="E35" s="42">
        <f>IFERROR('Data Sheet'!D93,0)</f>
        <v>1220.43</v>
      </c>
      <c r="F35" s="42">
        <f>IFERROR('Data Sheet'!E93,0)</f>
        <v>1225.8599999999999</v>
      </c>
      <c r="G35" s="42">
        <f>IFERROR('Data Sheet'!F93,0)</f>
        <v>1229.22</v>
      </c>
      <c r="H35" s="42">
        <f>IFERROR('Data Sheet'!G93,0)</f>
        <v>1230.8800000000001</v>
      </c>
      <c r="I35" s="42">
        <f>IFERROR('Data Sheet'!H93,0)</f>
        <v>1232.33</v>
      </c>
      <c r="J35" s="42">
        <f>IFERROR('Data Sheet'!I93,0)</f>
        <v>1242.8</v>
      </c>
      <c r="K35" s="42">
        <f>IFERROR('Data Sheet'!J93,0)</f>
        <v>1248.47</v>
      </c>
      <c r="L35" s="42">
        <f>IFERROR('Data Sheet'!K93,0)</f>
        <v>1251.4100000000001</v>
      </c>
      <c r="M35" s="42">
        <f>IFERROR('Data Sheet'!L93,0)</f>
        <v>0</v>
      </c>
    </row>
    <row r="36" spans="1:15" x14ac:dyDescent="0.35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5" x14ac:dyDescent="0.35">
      <c r="B37" t="s">
        <v>104</v>
      </c>
      <c r="C37" s="37">
        <f>IFERROR(C32/C35,0)</f>
        <v>6.6422689465486959</v>
      </c>
      <c r="D37" s="37">
        <f t="shared" ref="D37:M37" si="13">IFERROR(D32/D35,0)</f>
        <v>7.1773383604722003</v>
      </c>
      <c r="E37" s="37">
        <f t="shared" si="13"/>
        <v>7.5816474521275303</v>
      </c>
      <c r="F37" s="37">
        <f t="shared" si="13"/>
        <v>8.7738077757655866</v>
      </c>
      <c r="G37" s="37">
        <f t="shared" si="13"/>
        <v>10.718553228876848</v>
      </c>
      <c r="H37" s="37">
        <f t="shared" si="13"/>
        <v>8.7790280124788769</v>
      </c>
      <c r="I37" s="37">
        <f t="shared" si="13"/>
        <v>11.030657372619341</v>
      </c>
      <c r="J37" s="37">
        <f t="shared" si="13"/>
        <v>13.983810749919533</v>
      </c>
      <c r="K37" s="37">
        <f t="shared" si="13"/>
        <v>13.953807460331445</v>
      </c>
      <c r="L37" s="37">
        <f t="shared" si="13"/>
        <v>13.790524288602452</v>
      </c>
      <c r="M37" s="37">
        <f t="shared" si="13"/>
        <v>0</v>
      </c>
    </row>
    <row r="38" spans="1:15" x14ac:dyDescent="0.35">
      <c r="B38" t="s">
        <v>106</v>
      </c>
      <c r="C38" s="37"/>
      <c r="D38" s="37">
        <f>D37/C37-1</f>
        <v>8.0555216632943516E-2</v>
      </c>
      <c r="E38" s="37">
        <f t="shared" ref="E38:L38" si="14">E37/D37-1</f>
        <v>5.633134058190481E-2</v>
      </c>
      <c r="F38" s="37">
        <f t="shared" si="14"/>
        <v>0.15724291206702268</v>
      </c>
      <c r="G38" s="37">
        <f t="shared" si="14"/>
        <v>0.22165352864042731</v>
      </c>
      <c r="H38" s="37">
        <f t="shared" si="14"/>
        <v>-0.18095028078721465</v>
      </c>
      <c r="I38" s="37">
        <f t="shared" si="14"/>
        <v>0.25647820657821163</v>
      </c>
      <c r="J38" s="37">
        <f t="shared" si="14"/>
        <v>0.26772233762156428</v>
      </c>
      <c r="K38" s="37">
        <f t="shared" si="14"/>
        <v>-2.1455732006571138E-3</v>
      </c>
      <c r="L38" s="37">
        <f t="shared" si="14"/>
        <v>-1.1701693046373363E-2</v>
      </c>
      <c r="M38" s="37"/>
    </row>
    <row r="40" spans="1:15" x14ac:dyDescent="0.35">
      <c r="B40" t="s">
        <v>105</v>
      </c>
      <c r="C40" s="38">
        <f>IFERROR('Data Sheet'!B31/'historical sf '!C35,0)</f>
        <v>5.666666666666667</v>
      </c>
      <c r="D40" s="38">
        <f>IFERROR('Data Sheet'!C31/'historical sf '!D35,0)</f>
        <v>4.7500041161071511</v>
      </c>
      <c r="E40" s="38">
        <f>IFERROR('Data Sheet'!D31/'historical sf '!E35,0)</f>
        <v>5.1499963127750057</v>
      </c>
      <c r="F40" s="38">
        <f>IFERROR('Data Sheet'!E31/'historical sf '!F35,0)</f>
        <v>5.7500040787691908</v>
      </c>
      <c r="G40" s="38">
        <f>IFERROR('Data Sheet'!F31/'historical sf '!G35,0)</f>
        <v>10.149997559427929</v>
      </c>
      <c r="H40" s="38">
        <f>IFERROR('Data Sheet'!G31/'historical sf '!H35,0)</f>
        <v>10.749999999999998</v>
      </c>
      <c r="I40" s="38">
        <f>IFERROR('Data Sheet'!H31/'historical sf '!I35,0)</f>
        <v>11.500004057354767</v>
      </c>
      <c r="J40" s="38">
        <f>IFERROR('Data Sheet'!I31/'historical sf '!J35,0)</f>
        <v>15.500000000000002</v>
      </c>
      <c r="K40" s="38">
        <f>IFERROR('Data Sheet'!J31/'historical sf '!K35,0)</f>
        <v>13.749997997548999</v>
      </c>
      <c r="L40" s="38">
        <f>IFERROR('Data Sheet'!K31/'historical sf '!L35,0)</f>
        <v>14.349997203154841</v>
      </c>
      <c r="M40" s="38">
        <f>IFERROR('Data Sheet'!L31/'historical sf '!M35,0)</f>
        <v>0</v>
      </c>
      <c r="N40" t="str">
        <f ca="1">_xlfn.FORMULATEXT(L40)</f>
        <v>=IFERROR('Data Sheet'!K31/'historical sf '!L35,0)</v>
      </c>
    </row>
    <row r="41" spans="1:15" x14ac:dyDescent="0.35">
      <c r="B41" s="28" t="s">
        <v>108</v>
      </c>
      <c r="C41" s="29">
        <f>C40/C37</f>
        <v>0.85312213526238667</v>
      </c>
      <c r="D41" s="29">
        <f t="shared" ref="D41:L41" si="15">D40/D37</f>
        <v>0.66180579450829269</v>
      </c>
      <c r="E41" s="29">
        <f t="shared" si="15"/>
        <v>0.67927140443991962</v>
      </c>
      <c r="F41" s="29">
        <f t="shared" si="15"/>
        <v>0.65536016125763097</v>
      </c>
      <c r="G41" s="29">
        <f t="shared" si="15"/>
        <v>0.94695593170940517</v>
      </c>
      <c r="H41" s="29">
        <f t="shared" si="15"/>
        <v>1.2245091352618422</v>
      </c>
      <c r="I41" s="29">
        <f t="shared" si="15"/>
        <v>1.0425492941064831</v>
      </c>
      <c r="J41" s="29">
        <f t="shared" si="15"/>
        <v>1.108424611659536</v>
      </c>
      <c r="K41" s="29">
        <f t="shared" si="15"/>
        <v>0.98539398917737353</v>
      </c>
      <c r="L41" s="29">
        <f t="shared" si="15"/>
        <v>1.040569372334508</v>
      </c>
      <c r="M41" s="29"/>
    </row>
    <row r="43" spans="1:15" x14ac:dyDescent="0.35">
      <c r="B43" t="s">
        <v>107</v>
      </c>
      <c r="C43" s="43">
        <f>IFERROR(IF(C37&gt;C40,1-C41,0),0)</f>
        <v>0.14687786473761333</v>
      </c>
      <c r="D43" s="43">
        <f t="shared" ref="D43:M43" si="16">IFERROR(IF(D37&gt;D40,1-D41,0),0)</f>
        <v>0.33819420549170731</v>
      </c>
      <c r="E43" s="43">
        <f>IFERROR(IF(E37&gt;E40,1-E41,0),0)</f>
        <v>0.32072859556008038</v>
      </c>
      <c r="F43" s="43">
        <f>IFERROR(IF(F37&gt;F40,1-F41,0),0)</f>
        <v>0.34463983874236903</v>
      </c>
      <c r="G43" s="43">
        <f t="shared" si="16"/>
        <v>5.3044068290594826E-2</v>
      </c>
      <c r="H43" s="43">
        <f t="shared" si="16"/>
        <v>0</v>
      </c>
      <c r="I43" s="43">
        <f t="shared" si="16"/>
        <v>0</v>
      </c>
      <c r="J43" s="43">
        <f t="shared" si="16"/>
        <v>0</v>
      </c>
      <c r="K43" s="43">
        <f t="shared" si="16"/>
        <v>1.460601082262647E-2</v>
      </c>
      <c r="L43" s="43">
        <f t="shared" si="16"/>
        <v>0</v>
      </c>
      <c r="M43" s="43">
        <f t="shared" si="16"/>
        <v>0</v>
      </c>
      <c r="N43" s="43" t="str">
        <f ca="1">_xlfn.FORMULATEXT(L43)</f>
        <v>=IFERROR(IF(L37&gt;L40,1-L41,0),0)</v>
      </c>
    </row>
    <row r="44" spans="1:15" x14ac:dyDescent="0.35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5" spans="1:15" x14ac:dyDescent="0.35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</row>
    <row r="47" spans="1:15" x14ac:dyDescent="0.35">
      <c r="A47" t="s">
        <v>109</v>
      </c>
      <c r="B47" s="22" t="s">
        <v>110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O47" s="44"/>
    </row>
    <row r="49" spans="2:14" x14ac:dyDescent="0.35">
      <c r="B49" s="45" t="s">
        <v>24</v>
      </c>
      <c r="C49" s="38">
        <f>IFERROR('Data Sheet'!B57,0)</f>
        <v>804.72</v>
      </c>
      <c r="D49" s="38">
        <f>IFERROR('Data Sheet'!C57,0)</f>
        <v>1214.74</v>
      </c>
      <c r="E49" s="38">
        <f>IFERROR('Data Sheet'!D57,0)</f>
        <v>1220.43</v>
      </c>
      <c r="F49" s="38">
        <f>IFERROR('Data Sheet'!E57,0)</f>
        <v>1225.8599999999999</v>
      </c>
      <c r="G49" s="38">
        <f>IFERROR('Data Sheet'!F57,0)</f>
        <v>1229.22</v>
      </c>
      <c r="H49" s="38">
        <f>IFERROR('Data Sheet'!G57,0)</f>
        <v>1230.8800000000001</v>
      </c>
      <c r="I49" s="38">
        <f>IFERROR('Data Sheet'!H57,0)</f>
        <v>1232.33</v>
      </c>
      <c r="J49" s="38">
        <f>IFERROR('Data Sheet'!I57,0)</f>
        <v>1242.8</v>
      </c>
      <c r="K49" s="38">
        <f>IFERROR('Data Sheet'!J57,0)</f>
        <v>1248.47</v>
      </c>
      <c r="L49" s="38">
        <f>IFERROR('Data Sheet'!K57,0)</f>
        <v>1251.4100000000001</v>
      </c>
    </row>
    <row r="50" spans="2:14" x14ac:dyDescent="0.35">
      <c r="B50" s="45" t="s">
        <v>25</v>
      </c>
      <c r="C50" s="38">
        <f>IFERROR('Data Sheet'!B58,0)</f>
        <v>41874.800000000003</v>
      </c>
      <c r="D50" s="38">
        <f>IFERROR('Data Sheet'!C58,0)</f>
        <v>45198.19</v>
      </c>
      <c r="E50" s="38">
        <f>IFERROR('Data Sheet'!D58,0)</f>
        <v>51289.68</v>
      </c>
      <c r="F50" s="38">
        <f>IFERROR('Data Sheet'!E58,0)</f>
        <v>57915.01</v>
      </c>
      <c r="G50" s="38">
        <f>IFERROR('Data Sheet'!F58,0)</f>
        <v>64044.04</v>
      </c>
      <c r="H50" s="38">
        <f>IFERROR('Data Sheet'!G58,0)</f>
        <v>59116.46</v>
      </c>
      <c r="I50" s="38">
        <f>IFERROR('Data Sheet'!H58,0)</f>
        <v>61223.24</v>
      </c>
      <c r="J50" s="38">
        <f>IFERROR('Data Sheet'!I58,0)</f>
        <v>67912.460000000006</v>
      </c>
      <c r="K50" s="38">
        <f>IFERROR('Data Sheet'!J58,0)</f>
        <v>73258.53</v>
      </c>
      <c r="L50" s="38">
        <f>IFERROR('Data Sheet'!K58,0)</f>
        <v>68778.64</v>
      </c>
    </row>
    <row r="51" spans="2:14" x14ac:dyDescent="0.35">
      <c r="B51" s="45" t="s">
        <v>62</v>
      </c>
      <c r="C51" s="38">
        <f>IFERROR('Data Sheet'!B59,0)</f>
        <v>83.78</v>
      </c>
      <c r="D51" s="38">
        <f>IFERROR('Data Sheet'!C59,0)</f>
        <v>45.72</v>
      </c>
      <c r="E51" s="38">
        <f>IFERROR('Data Sheet'!D59,0)</f>
        <v>35.92</v>
      </c>
      <c r="F51" s="38">
        <f>IFERROR('Data Sheet'!E59,0)</f>
        <v>13.44</v>
      </c>
      <c r="G51" s="38">
        <f>IFERROR('Data Sheet'!F59,0)</f>
        <v>277.45</v>
      </c>
      <c r="H51" s="38">
        <f>IFERROR('Data Sheet'!G59,0)</f>
        <v>270.83</v>
      </c>
      <c r="I51" s="38">
        <f>IFERROR('Data Sheet'!H59,0)</f>
        <v>249.44</v>
      </c>
      <c r="J51" s="38">
        <f>IFERROR('Data Sheet'!I59,0)</f>
        <v>306.04000000000002</v>
      </c>
      <c r="K51" s="38">
        <f>IFERROR('Data Sheet'!J59,0)</f>
        <v>303.43</v>
      </c>
      <c r="L51" s="38">
        <f>IFERROR('Data Sheet'!K59,0)</f>
        <v>284.54000000000002</v>
      </c>
    </row>
    <row r="52" spans="2:14" x14ac:dyDescent="0.35">
      <c r="B52" s="45" t="s">
        <v>63</v>
      </c>
      <c r="C52" s="38">
        <f>IFERROR('Data Sheet'!B60,0)</f>
        <v>8888.0400000000009</v>
      </c>
      <c r="D52" s="38">
        <f>IFERROR('Data Sheet'!C60,0)</f>
        <v>9439.67</v>
      </c>
      <c r="E52" s="38">
        <f>IFERROR('Data Sheet'!D60,0)</f>
        <v>11694.85</v>
      </c>
      <c r="F52" s="38">
        <f>IFERROR('Data Sheet'!E60,0)</f>
        <v>12584.73</v>
      </c>
      <c r="G52" s="38">
        <f>IFERROR('Data Sheet'!F60,0)</f>
        <v>11760.04</v>
      </c>
      <c r="H52" s="38">
        <f>IFERROR('Data Sheet'!G60,0)</f>
        <v>13142.59</v>
      </c>
      <c r="I52" s="38">
        <f>IFERROR('Data Sheet'!H60,0)</f>
        <v>14491.01</v>
      </c>
      <c r="J52" s="38">
        <f>IFERROR('Data Sheet'!I60,0)</f>
        <v>16369.66</v>
      </c>
      <c r="K52" s="38">
        <f>IFERROR('Data Sheet'!J60,0)</f>
        <v>16943.54</v>
      </c>
      <c r="L52" s="38">
        <f>IFERROR('Data Sheet'!K60,0)</f>
        <v>17688.11</v>
      </c>
    </row>
    <row r="53" spans="2:14" x14ac:dyDescent="0.35">
      <c r="B53" s="46" t="s">
        <v>111</v>
      </c>
      <c r="C53" s="51">
        <f>IFERROR('Data Sheet'!B61,0)</f>
        <v>51651.34</v>
      </c>
      <c r="D53" s="51">
        <f>IFERROR('Data Sheet'!C61,0)</f>
        <v>55898.32</v>
      </c>
      <c r="E53" s="51">
        <f>IFERROR('Data Sheet'!D61,0)</f>
        <v>64240.88</v>
      </c>
      <c r="F53" s="51">
        <f>IFERROR('Data Sheet'!E61,0)</f>
        <v>71739.039999999994</v>
      </c>
      <c r="G53" s="51">
        <f>IFERROR('Data Sheet'!F61,0)</f>
        <v>77310.75</v>
      </c>
      <c r="H53" s="51">
        <f>IFERROR('Data Sheet'!G61,0)</f>
        <v>73760.759999999995</v>
      </c>
      <c r="I53" s="51">
        <f>IFERROR('Data Sheet'!H61,0)</f>
        <v>77196.02</v>
      </c>
      <c r="J53" s="51">
        <f>IFERROR('Data Sheet'!I61,0)</f>
        <v>85830.96</v>
      </c>
      <c r="K53" s="51">
        <f>IFERROR('Data Sheet'!J61,0)</f>
        <v>91753.97</v>
      </c>
      <c r="L53" s="51">
        <f>IFERROR('Data Sheet'!K61,0)</f>
        <v>88002.7</v>
      </c>
      <c r="M53" s="2"/>
    </row>
    <row r="54" spans="2:14" x14ac:dyDescent="0.35"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2"/>
    </row>
    <row r="55" spans="2:14" x14ac:dyDescent="0.35">
      <c r="B55" s="48" t="s">
        <v>112</v>
      </c>
      <c r="C55" s="38">
        <f>IFERROR('Data Sheet'!B62,0)</f>
        <v>15106.63</v>
      </c>
      <c r="D55" s="38">
        <f>IFERROR('Data Sheet'!C62,0)</f>
        <v>15893.48</v>
      </c>
      <c r="E55" s="38">
        <f>IFERROR('Data Sheet'!D62,0)</f>
        <v>16523.96</v>
      </c>
      <c r="F55" s="38">
        <f>IFERROR('Data Sheet'!E62,0)</f>
        <v>19374.189999999999</v>
      </c>
      <c r="G55" s="38">
        <f>IFERROR('Data Sheet'!F62,0)</f>
        <v>21713.34</v>
      </c>
      <c r="H55" s="38">
        <f>IFERROR('Data Sheet'!G62,0)</f>
        <v>23298.48</v>
      </c>
      <c r="I55" s="38">
        <f>IFERROR('Data Sheet'!H62,0)</f>
        <v>24231.59</v>
      </c>
      <c r="J55" s="38">
        <f>IFERROR('Data Sheet'!I62,0)</f>
        <v>25851.27</v>
      </c>
      <c r="K55" s="38">
        <f>IFERROR('Data Sheet'!J62,0)</f>
        <v>27820.22</v>
      </c>
      <c r="L55" s="38">
        <f>IFERROR('Data Sheet'!K62,0)</f>
        <v>21954.85</v>
      </c>
    </row>
    <row r="56" spans="2:14" x14ac:dyDescent="0.35">
      <c r="B56" s="45" t="s">
        <v>28</v>
      </c>
      <c r="C56" s="38">
        <f>IFERROR('Data Sheet'!B63,0)</f>
        <v>2559.7199999999998</v>
      </c>
      <c r="D56" s="38">
        <f>IFERROR('Data Sheet'!C63,0)</f>
        <v>3729.89</v>
      </c>
      <c r="E56" s="38">
        <f>IFERROR('Data Sheet'!D63,0)</f>
        <v>5508.33</v>
      </c>
      <c r="F56" s="38">
        <f>IFERROR('Data Sheet'!E63,0)</f>
        <v>4136.42</v>
      </c>
      <c r="G56" s="38">
        <f>IFERROR('Data Sheet'!F63,0)</f>
        <v>3256.46</v>
      </c>
      <c r="H56" s="38">
        <f>IFERROR('Data Sheet'!G63,0)</f>
        <v>4011.29</v>
      </c>
      <c r="I56" s="38">
        <f>IFERROR('Data Sheet'!H63,0)</f>
        <v>3225.54</v>
      </c>
      <c r="J56" s="38">
        <f>IFERROR('Data Sheet'!I63,0)</f>
        <v>3003.3</v>
      </c>
      <c r="K56" s="38">
        <f>IFERROR('Data Sheet'!J63,0)</f>
        <v>2860.78</v>
      </c>
      <c r="L56" s="38">
        <f>IFERROR('Data Sheet'!K63,0)</f>
        <v>1090.9100000000001</v>
      </c>
    </row>
    <row r="57" spans="2:14" x14ac:dyDescent="0.35">
      <c r="B57" s="45" t="s">
        <v>29</v>
      </c>
      <c r="C57" s="38">
        <f>IFERROR('Data Sheet'!B64,0)</f>
        <v>11747.59</v>
      </c>
      <c r="D57" s="38">
        <f>IFERROR('Data Sheet'!C64,0)</f>
        <v>17581.38</v>
      </c>
      <c r="E57" s="38">
        <f>IFERROR('Data Sheet'!D64,0)</f>
        <v>22052.86</v>
      </c>
      <c r="F57" s="38">
        <f>IFERROR('Data Sheet'!E64,0)</f>
        <v>25043.49</v>
      </c>
      <c r="G57" s="38">
        <f>IFERROR('Data Sheet'!F64,0)</f>
        <v>28663.35</v>
      </c>
      <c r="H57" s="38">
        <f>IFERROR('Data Sheet'!G64,0)</f>
        <v>24870.87</v>
      </c>
      <c r="I57" s="38">
        <f>IFERROR('Data Sheet'!H64,0)</f>
        <v>24841.01</v>
      </c>
      <c r="J57" s="38">
        <f>IFERROR('Data Sheet'!I64,0)</f>
        <v>29415.02</v>
      </c>
      <c r="K57" s="38">
        <f>IFERROR('Data Sheet'!J64,0)</f>
        <v>31114.02</v>
      </c>
      <c r="L57" s="38">
        <f>IFERROR('Data Sheet'!K64,0)</f>
        <v>34719.82</v>
      </c>
    </row>
    <row r="58" spans="2:14" x14ac:dyDescent="0.35">
      <c r="B58" s="45" t="s">
        <v>64</v>
      </c>
      <c r="C58" s="38">
        <f>IFERROR('Data Sheet'!B65-SUM('Data Sheet'!B67:B69),0)</f>
        <v>5194.82</v>
      </c>
      <c r="D58" s="38">
        <f>IFERROR('Data Sheet'!C65-SUM('Data Sheet'!C67:C69),0)</f>
        <v>5135.7800000000007</v>
      </c>
      <c r="E58" s="38">
        <f>IFERROR('Data Sheet'!D65-SUM('Data Sheet'!D67:D69),0)</f>
        <v>7078.7499999999982</v>
      </c>
      <c r="F58" s="38">
        <f>IFERROR('Data Sheet'!E65-SUM('Data Sheet'!E67:E69),0)</f>
        <v>7138.07</v>
      </c>
      <c r="G58" s="38">
        <f>IFERROR('Data Sheet'!F65-SUM('Data Sheet'!F67:F69),0)</f>
        <v>4958.4499999999971</v>
      </c>
      <c r="H58" s="38">
        <f>IFERROR('Data Sheet'!G65-SUM('Data Sheet'!G67:G69),0)</f>
        <v>4022.239999999998</v>
      </c>
      <c r="I58" s="38">
        <f>IFERROR('Data Sheet'!H65-SUM('Data Sheet'!H67:H69),0)</f>
        <v>6917.41</v>
      </c>
      <c r="J58" s="38">
        <f>IFERROR('Data Sheet'!I65-SUM('Data Sheet'!I67:I69),0)</f>
        <v>7953.8499999999985</v>
      </c>
      <c r="K58" s="38">
        <f>IFERROR('Data Sheet'!J65-SUM('Data Sheet'!J67:J69),0)</f>
        <v>4562.57</v>
      </c>
      <c r="L58" s="38">
        <f>IFERROR('Data Sheet'!K65-SUM('Data Sheet'!K67:K69),0)</f>
        <v>5867.5299999999988</v>
      </c>
      <c r="N58" t="str">
        <f ca="1">_xlfn.FORMULATEXT(L58)</f>
        <v>=IFERROR('Data Sheet'!K65-SUM('Data Sheet'!K67:K69),0)</v>
      </c>
    </row>
    <row r="59" spans="2:14" x14ac:dyDescent="0.35">
      <c r="B59" s="49" t="s">
        <v>116</v>
      </c>
      <c r="C59" s="47">
        <f>SUM(C55:C58)</f>
        <v>34608.759999999995</v>
      </c>
      <c r="D59" s="47">
        <f t="shared" ref="D59:L59" si="17">SUM(D55:D58)</f>
        <v>42340.53</v>
      </c>
      <c r="E59" s="47">
        <f t="shared" si="17"/>
        <v>51163.9</v>
      </c>
      <c r="F59" s="47">
        <f t="shared" si="17"/>
        <v>55692.170000000006</v>
      </c>
      <c r="G59" s="47">
        <f t="shared" si="17"/>
        <v>58591.599999999991</v>
      </c>
      <c r="H59" s="47">
        <f t="shared" si="17"/>
        <v>56202.879999999997</v>
      </c>
      <c r="I59" s="47">
        <f t="shared" si="17"/>
        <v>59215.55</v>
      </c>
      <c r="J59" s="47">
        <f t="shared" si="17"/>
        <v>66223.44</v>
      </c>
      <c r="K59" s="47">
        <f t="shared" si="17"/>
        <v>66357.59</v>
      </c>
      <c r="L59" s="47">
        <f t="shared" si="17"/>
        <v>63633.11</v>
      </c>
    </row>
    <row r="60" spans="2:14" x14ac:dyDescent="0.35">
      <c r="B60" s="1"/>
    </row>
    <row r="61" spans="2:14" x14ac:dyDescent="0.35">
      <c r="B61" s="6" t="s">
        <v>69</v>
      </c>
      <c r="C61" s="50">
        <f>IFERROR('Data Sheet'!B67,0)</f>
        <v>1917.18</v>
      </c>
      <c r="D61" s="50">
        <f>IFERROR('Data Sheet'!C67,0)</f>
        <v>2474.29</v>
      </c>
      <c r="E61" s="50">
        <f>IFERROR('Data Sheet'!D67,0)</f>
        <v>2682.29</v>
      </c>
      <c r="F61" s="50">
        <f>IFERROR('Data Sheet'!E67,0)</f>
        <v>4035.28</v>
      </c>
      <c r="G61" s="50">
        <f>IFERROR('Data Sheet'!F67,0)</f>
        <v>2562.48</v>
      </c>
      <c r="H61" s="50">
        <f>IFERROR('Data Sheet'!G67,0)</f>
        <v>2501.6999999999998</v>
      </c>
      <c r="I61" s="50">
        <f>IFERROR('Data Sheet'!H67,0)</f>
        <v>2461.9</v>
      </c>
      <c r="J61" s="50">
        <f>IFERROR('Data Sheet'!I67,0)</f>
        <v>2956.17</v>
      </c>
      <c r="K61" s="50">
        <f>IFERROR('Data Sheet'!J67,0)</f>
        <v>4025.82</v>
      </c>
      <c r="L61" s="50">
        <f>IFERROR('Data Sheet'!K67,0)</f>
        <v>4719.67</v>
      </c>
    </row>
    <row r="62" spans="2:14" x14ac:dyDescent="0.35">
      <c r="B62" s="6" t="s">
        <v>45</v>
      </c>
      <c r="C62" s="50">
        <f>IFERROR('Data Sheet'!B68,0)</f>
        <v>9062.1</v>
      </c>
      <c r="D62" s="50">
        <f>IFERROR('Data Sheet'!C68,0)</f>
        <v>8116.1</v>
      </c>
      <c r="E62" s="50">
        <f>IFERROR('Data Sheet'!D68,0)</f>
        <v>7495.09</v>
      </c>
      <c r="F62" s="50">
        <f>IFERROR('Data Sheet'!E68,0)</f>
        <v>7859.56</v>
      </c>
      <c r="G62" s="50">
        <f>IFERROR('Data Sheet'!F68,0)</f>
        <v>8879.33</v>
      </c>
      <c r="H62" s="50">
        <f>IFERROR('Data Sheet'!G68,0)</f>
        <v>10397.16</v>
      </c>
      <c r="I62" s="50">
        <f>IFERROR('Data Sheet'!H68,0)</f>
        <v>10864.15</v>
      </c>
      <c r="J62" s="50">
        <f>IFERROR('Data Sheet'!I68,0)</f>
        <v>11771.16</v>
      </c>
      <c r="K62" s="50">
        <f>IFERROR('Data Sheet'!J68,0)</f>
        <v>14152.88</v>
      </c>
      <c r="L62" s="50">
        <f>IFERROR('Data Sheet'!K68,0)</f>
        <v>15637.56</v>
      </c>
    </row>
    <row r="63" spans="2:14" x14ac:dyDescent="0.35">
      <c r="B63" s="4" t="s">
        <v>78</v>
      </c>
      <c r="C63" s="50">
        <f>IFERROR('Data Sheet'!B69,0)</f>
        <v>6063.3</v>
      </c>
      <c r="D63" s="50">
        <f>IFERROR('Data Sheet'!C69,0)</f>
        <v>2967.4</v>
      </c>
      <c r="E63" s="50">
        <f>IFERROR('Data Sheet'!D69,0)</f>
        <v>2899.6</v>
      </c>
      <c r="F63" s="50">
        <f>IFERROR('Data Sheet'!E69,0)</f>
        <v>4152.03</v>
      </c>
      <c r="G63" s="50">
        <f>IFERROR('Data Sheet'!F69,0)</f>
        <v>7277.34</v>
      </c>
      <c r="H63" s="50">
        <f>IFERROR('Data Sheet'!G69,0)</f>
        <v>4659.0200000000004</v>
      </c>
      <c r="I63" s="50">
        <f>IFERROR('Data Sheet'!H69,0)</f>
        <v>4654.42</v>
      </c>
      <c r="J63" s="50">
        <f>IFERROR('Data Sheet'!I69,0)</f>
        <v>4880.1899999999996</v>
      </c>
      <c r="K63" s="50">
        <f>IFERROR('Data Sheet'!J69,0)</f>
        <v>7217.68</v>
      </c>
      <c r="L63" s="50">
        <f>IFERROR('Data Sheet'!K69,0)</f>
        <v>4012.36</v>
      </c>
    </row>
    <row r="64" spans="2:14" x14ac:dyDescent="0.35">
      <c r="B64" s="52" t="s">
        <v>113</v>
      </c>
      <c r="C64" s="51">
        <f>SUM(C61:C63)</f>
        <v>17042.580000000002</v>
      </c>
      <c r="D64" s="51">
        <f t="shared" ref="D64:L64" si="18">SUM(D61:D63)</f>
        <v>13557.789999999999</v>
      </c>
      <c r="E64" s="51">
        <f t="shared" si="18"/>
        <v>13076.980000000001</v>
      </c>
      <c r="F64" s="51">
        <f t="shared" si="18"/>
        <v>16046.869999999999</v>
      </c>
      <c r="G64" s="51">
        <f t="shared" si="18"/>
        <v>18719.150000000001</v>
      </c>
      <c r="H64" s="51">
        <f t="shared" si="18"/>
        <v>17557.88</v>
      </c>
      <c r="I64" s="51">
        <f t="shared" si="18"/>
        <v>17980.47</v>
      </c>
      <c r="J64" s="51">
        <f t="shared" si="18"/>
        <v>19607.52</v>
      </c>
      <c r="K64" s="51">
        <f t="shared" si="18"/>
        <v>25396.38</v>
      </c>
      <c r="L64" s="51">
        <f t="shared" si="18"/>
        <v>24369.59</v>
      </c>
    </row>
    <row r="66" spans="1:14" x14ac:dyDescent="0.35">
      <c r="B66" s="53" t="s">
        <v>114</v>
      </c>
      <c r="C66" s="54">
        <f>IFERROR(C59+C64,0)</f>
        <v>51651.34</v>
      </c>
      <c r="D66" s="54">
        <f t="shared" ref="D66:L66" si="19">IFERROR(D59+D64,0)</f>
        <v>55898.32</v>
      </c>
      <c r="E66" s="54">
        <f t="shared" si="19"/>
        <v>64240.880000000005</v>
      </c>
      <c r="F66" s="54">
        <f t="shared" si="19"/>
        <v>71739.040000000008</v>
      </c>
      <c r="G66" s="54">
        <f t="shared" si="19"/>
        <v>77310.75</v>
      </c>
      <c r="H66" s="54">
        <f t="shared" si="19"/>
        <v>73760.759999999995</v>
      </c>
      <c r="I66" s="54">
        <f t="shared" si="19"/>
        <v>77196.02</v>
      </c>
      <c r="J66" s="54">
        <f t="shared" si="19"/>
        <v>85830.96</v>
      </c>
      <c r="K66" s="54">
        <f t="shared" si="19"/>
        <v>91753.97</v>
      </c>
      <c r="L66" s="54">
        <f t="shared" si="19"/>
        <v>88002.7</v>
      </c>
      <c r="N66" t="str">
        <f ca="1">_xlfn.FORMULATEXT(L66)</f>
        <v>=IFERROR(L59+L64,0)</v>
      </c>
    </row>
    <row r="68" spans="1:14" x14ac:dyDescent="0.35">
      <c r="B68" s="2" t="s">
        <v>115</v>
      </c>
      <c r="C68" s="55" t="b">
        <f>C53=C66</f>
        <v>1</v>
      </c>
      <c r="D68" s="55" t="b">
        <f t="shared" ref="D68:L68" si="20">D53=D66</f>
        <v>1</v>
      </c>
      <c r="E68" s="55" t="b">
        <f t="shared" si="20"/>
        <v>1</v>
      </c>
      <c r="F68" s="55" t="b">
        <f t="shared" si="20"/>
        <v>1</v>
      </c>
      <c r="G68" s="55" t="b">
        <f t="shared" si="20"/>
        <v>1</v>
      </c>
      <c r="H68" s="55" t="b">
        <f t="shared" si="20"/>
        <v>1</v>
      </c>
      <c r="I68" s="55" t="b">
        <f t="shared" si="20"/>
        <v>1</v>
      </c>
      <c r="J68" s="55" t="b">
        <f t="shared" si="20"/>
        <v>1</v>
      </c>
      <c r="K68" s="55" t="b">
        <f t="shared" si="20"/>
        <v>1</v>
      </c>
      <c r="L68" s="55" t="b">
        <f t="shared" si="20"/>
        <v>1</v>
      </c>
    </row>
    <row r="71" spans="1:14" x14ac:dyDescent="0.35">
      <c r="A71" t="s">
        <v>109</v>
      </c>
      <c r="B71" s="22" t="s">
        <v>117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4" ht="15" thickBot="1" x14ac:dyDescent="0.4">
      <c r="B72" s="2" t="s">
        <v>147</v>
      </c>
    </row>
    <row r="73" spans="1:14" x14ac:dyDescent="0.35">
      <c r="B73" s="69" t="s">
        <v>118</v>
      </c>
      <c r="C73" s="72">
        <f>IFERROR('cash flow '!D4,0)</f>
        <v>14261</v>
      </c>
      <c r="D73" s="72">
        <f>IFERROR('cash flow '!E4,0)</f>
        <v>15154</v>
      </c>
      <c r="E73" s="72">
        <f>IFERROR('cash flow '!F4,0)</f>
        <v>16075</v>
      </c>
      <c r="F73" s="72">
        <f>IFERROR('cash flow '!G4,0)</f>
        <v>17433</v>
      </c>
      <c r="G73" s="72">
        <f>IFERROR('cash flow '!H4,0)</f>
        <v>18862</v>
      </c>
      <c r="H73" s="72">
        <f>IFERROR('cash flow '!I4,0)</f>
        <v>19416</v>
      </c>
      <c r="I73" s="72">
        <f>IFERROR('cash flow '!J4,0)</f>
        <v>17326</v>
      </c>
      <c r="J73" s="72">
        <f>IFERROR('cash flow '!K4,0)</f>
        <v>20857</v>
      </c>
      <c r="K73" s="72">
        <f>IFERROR('cash flow '!L4,0)</f>
        <v>26052</v>
      </c>
      <c r="L73" s="72">
        <f>IFERROR('cash flow '!M4,0)</f>
        <v>26635</v>
      </c>
    </row>
    <row r="74" spans="1:14" x14ac:dyDescent="0.35">
      <c r="B74" s="57" t="s">
        <v>69</v>
      </c>
      <c r="C74" s="72">
        <f>IFERROR('cash flow '!D5,0)</f>
        <v>558</v>
      </c>
      <c r="D74" s="72">
        <f>IFERROR('cash flow '!E5,0)</f>
        <v>-207</v>
      </c>
      <c r="E74" s="72">
        <f>IFERROR('cash flow '!F5,0)</f>
        <v>-870</v>
      </c>
      <c r="F74" s="72">
        <f>IFERROR('cash flow '!G5,0)</f>
        <v>-964</v>
      </c>
      <c r="G74" s="72">
        <f>IFERROR('cash flow '!H5,0)</f>
        <v>-755</v>
      </c>
      <c r="H74" s="72">
        <f>IFERROR('cash flow '!I5,0)</f>
        <v>1411</v>
      </c>
      <c r="I74" s="72">
        <f>IFERROR('cash flow '!J5,0)</f>
        <v>-66</v>
      </c>
      <c r="J74" s="72">
        <f>IFERROR('cash flow '!K5,0)</f>
        <v>-732</v>
      </c>
      <c r="K74" s="72">
        <f>IFERROR('cash flow '!L5,0)</f>
        <v>-884</v>
      </c>
      <c r="L74" s="72">
        <f>IFERROR('cash flow '!M5,0)</f>
        <v>-934</v>
      </c>
    </row>
    <row r="75" spans="1:14" x14ac:dyDescent="0.35">
      <c r="B75" s="57" t="s">
        <v>45</v>
      </c>
      <c r="C75" s="72">
        <f>IFERROR('cash flow '!D6,0)</f>
        <v>-505</v>
      </c>
      <c r="D75" s="72">
        <f>IFERROR('cash flow '!E6,0)</f>
        <v>-693</v>
      </c>
      <c r="E75" s="72">
        <f>IFERROR('cash flow '!F6,0)</f>
        <v>593</v>
      </c>
      <c r="F75" s="72">
        <f>IFERROR('cash flow '!G6,0)</f>
        <v>602</v>
      </c>
      <c r="G75" s="72">
        <f>IFERROR('cash flow '!H6,0)</f>
        <v>-359</v>
      </c>
      <c r="H75" s="72">
        <f>IFERROR('cash flow '!I6,0)</f>
        <v>-508</v>
      </c>
      <c r="I75" s="72">
        <f>IFERROR('cash flow '!J6,0)</f>
        <v>-1460</v>
      </c>
      <c r="J75" s="72">
        <f>IFERROR('cash flow '!K6,0)</f>
        <v>-466</v>
      </c>
      <c r="K75" s="72">
        <f>IFERROR('cash flow '!L6,0)</f>
        <v>-1098</v>
      </c>
      <c r="L75" s="72">
        <f>IFERROR('cash flow '!M6,0)</f>
        <v>-2545</v>
      </c>
    </row>
    <row r="76" spans="1:14" x14ac:dyDescent="0.35">
      <c r="B76" s="57" t="s">
        <v>119</v>
      </c>
      <c r="C76" s="72">
        <f>IFERROR('cash flow '!D7,0)</f>
        <v>-23</v>
      </c>
      <c r="D76" s="72">
        <f>IFERROR('cash flow '!E7,0)</f>
        <v>622</v>
      </c>
      <c r="E76" s="72">
        <f>IFERROR('cash flow '!F7,0)</f>
        <v>321</v>
      </c>
      <c r="F76" s="72">
        <f>IFERROR('cash flow '!G7,0)</f>
        <v>2098</v>
      </c>
      <c r="G76" s="72">
        <f>IFERROR('cash flow '!H7,0)</f>
        <v>639</v>
      </c>
      <c r="H76" s="72">
        <f>IFERROR('cash flow '!I7,0)</f>
        <v>-607</v>
      </c>
      <c r="I76" s="72">
        <f>IFERROR('cash flow '!J7,0)</f>
        <v>1112</v>
      </c>
      <c r="J76" s="72">
        <f>IFERROR('cash flow '!K7,0)</f>
        <v>1099</v>
      </c>
      <c r="K76" s="72">
        <f>IFERROR('cash flow '!L7,0)</f>
        <v>1058</v>
      </c>
      <c r="L76" s="72">
        <f>IFERROR('cash flow '!M7,0)</f>
        <v>141</v>
      </c>
    </row>
    <row r="77" spans="1:14" x14ac:dyDescent="0.35">
      <c r="B77" s="57" t="s">
        <v>120</v>
      </c>
      <c r="C77" s="72">
        <f>IFERROR('cash flow '!D8,0)</f>
        <v>31</v>
      </c>
      <c r="D77" s="72">
        <f>IFERROR('cash flow '!E8,0)</f>
        <v>-277</v>
      </c>
      <c r="E77" s="72">
        <f>IFERROR('cash flow '!F8,0)</f>
        <v>44</v>
      </c>
      <c r="F77" s="72">
        <f>IFERROR('cash flow '!G8,0)</f>
        <v>1736</v>
      </c>
      <c r="G77" s="72">
        <f>IFERROR('cash flow '!H8,0)</f>
        <v>-476</v>
      </c>
      <c r="H77" s="72">
        <f>IFERROR('cash flow '!I8,0)</f>
        <v>296</v>
      </c>
      <c r="I77" s="72">
        <f>IFERROR('cash flow '!J8,0)</f>
        <v>-413</v>
      </c>
      <c r="J77" s="72">
        <f>IFERROR('cash flow '!K8,0)</f>
        <v>-100</v>
      </c>
      <c r="K77" s="72">
        <f>IFERROR('cash flow '!L8,0)</f>
        <v>-924</v>
      </c>
      <c r="L77" s="72">
        <f>IFERROR('cash flow '!M8,0)</f>
        <v>-3337</v>
      </c>
    </row>
    <row r="78" spans="1:14" ht="15" thickBot="1" x14ac:dyDescent="0.4">
      <c r="B78" s="57" t="s">
        <v>121</v>
      </c>
      <c r="C78" s="72">
        <f>IFERROR('cash flow '!D9,0)</f>
        <v>-4449</v>
      </c>
      <c r="D78" s="72">
        <f>IFERROR('cash flow '!E9,0)</f>
        <v>-5078</v>
      </c>
      <c r="E78" s="72">
        <f>IFERROR('cash flow '!F9,0)</f>
        <v>-5492</v>
      </c>
      <c r="F78" s="72">
        <f>IFERROR('cash flow '!G9,0)</f>
        <v>-6000</v>
      </c>
      <c r="G78" s="72">
        <f>IFERROR('cash flow '!H9,0)</f>
        <v>-5803</v>
      </c>
      <c r="H78" s="72">
        <f>IFERROR('cash flow '!I9,0)</f>
        <v>-5023</v>
      </c>
      <c r="I78" s="72">
        <f>IFERROR('cash flow '!J9,0)</f>
        <v>-4387</v>
      </c>
      <c r="J78" s="72">
        <f>IFERROR('cash flow '!K9,0)</f>
        <v>-4982</v>
      </c>
      <c r="K78" s="72">
        <f>IFERROR('cash flow '!L9,0)</f>
        <v>-6250</v>
      </c>
      <c r="L78" s="72">
        <f>IFERROR('cash flow '!M9,0)</f>
        <v>-6120</v>
      </c>
    </row>
    <row r="79" spans="1:14" x14ac:dyDescent="0.35">
      <c r="B79" s="69" t="s">
        <v>122</v>
      </c>
      <c r="C79" s="72">
        <f>IFERROR('cash flow '!D10,0)</f>
        <v>-5275</v>
      </c>
      <c r="D79" s="72">
        <f>IFERROR('cash flow '!E10,0)</f>
        <v>-3921</v>
      </c>
      <c r="E79" s="72">
        <f>IFERROR('cash flow '!F10,0)</f>
        <v>-3251</v>
      </c>
      <c r="F79" s="72">
        <f>IFERROR('cash flow '!G10,0)</f>
        <v>-7114</v>
      </c>
      <c r="G79" s="72">
        <f>IFERROR('cash flow '!H10,0)</f>
        <v>-5546</v>
      </c>
      <c r="H79" s="72">
        <f>IFERROR('cash flow '!I10,0)</f>
        <v>-6174</v>
      </c>
      <c r="I79" s="72">
        <f>IFERROR('cash flow '!J10,0)</f>
        <v>5740</v>
      </c>
      <c r="J79" s="72">
        <f>IFERROR('cash flow '!K10,0)</f>
        <v>-2238</v>
      </c>
      <c r="K79" s="72">
        <f>IFERROR('cash flow '!L10,0)</f>
        <v>-5732</v>
      </c>
      <c r="L79" s="72">
        <f>IFERROR('cash flow '!M10,0)</f>
        <v>1563</v>
      </c>
    </row>
    <row r="80" spans="1:14" x14ac:dyDescent="0.35">
      <c r="B80" s="57" t="s">
        <v>123</v>
      </c>
      <c r="C80" s="72">
        <f>IFERROR('cash flow '!D11,0)</f>
        <v>-3300</v>
      </c>
      <c r="D80" s="72">
        <f>IFERROR('cash flow '!E11,0)</f>
        <v>-2348</v>
      </c>
      <c r="E80" s="72">
        <f>IFERROR('cash flow '!F11,0)</f>
        <v>-3122</v>
      </c>
      <c r="F80" s="72">
        <f>IFERROR('cash flow '!G11,0)</f>
        <v>-2878</v>
      </c>
      <c r="G80" s="72">
        <f>IFERROR('cash flow '!H11,0)</f>
        <v>-3169</v>
      </c>
      <c r="H80" s="72">
        <f>IFERROR('cash flow '!I11,0)</f>
        <v>-2441</v>
      </c>
      <c r="I80" s="72">
        <f>IFERROR('cash flow '!J11,0)</f>
        <v>-1837</v>
      </c>
      <c r="J80" s="72">
        <f>IFERROR('cash flow '!K11,0)</f>
        <v>-2142</v>
      </c>
      <c r="K80" s="72">
        <f>IFERROR('cash flow '!L11,0)</f>
        <v>-2743</v>
      </c>
      <c r="L80" s="72">
        <f>IFERROR('cash flow '!M11,0)</f>
        <v>-3563</v>
      </c>
    </row>
    <row r="81" spans="2:12" x14ac:dyDescent="0.35">
      <c r="B81" s="2" t="s">
        <v>146</v>
      </c>
      <c r="C81" s="73">
        <f>SUM(C73:C80)</f>
        <v>1298</v>
      </c>
      <c r="D81" s="73">
        <f t="shared" ref="D81:L81" si="21">SUM(D73:D80)</f>
        <v>3252</v>
      </c>
      <c r="E81" s="73">
        <f t="shared" si="21"/>
        <v>4298</v>
      </c>
      <c r="F81" s="73">
        <f t="shared" si="21"/>
        <v>4913</v>
      </c>
      <c r="G81" s="73">
        <f t="shared" si="21"/>
        <v>3393</v>
      </c>
      <c r="H81" s="73">
        <f t="shared" si="21"/>
        <v>6370</v>
      </c>
      <c r="I81" s="73">
        <f t="shared" si="21"/>
        <v>16015</v>
      </c>
      <c r="J81" s="73">
        <f t="shared" si="21"/>
        <v>11296</v>
      </c>
      <c r="K81" s="73">
        <f t="shared" si="21"/>
        <v>9479</v>
      </c>
      <c r="L81" s="73">
        <f t="shared" si="21"/>
        <v>11840</v>
      </c>
    </row>
    <row r="83" spans="2:12" x14ac:dyDescent="0.35">
      <c r="B83" s="2" t="s">
        <v>148</v>
      </c>
    </row>
    <row r="84" spans="2:12" x14ac:dyDescent="0.35">
      <c r="B84" s="58" t="s">
        <v>124</v>
      </c>
      <c r="C84" s="77">
        <f>IFERROR('cash flow '!C13,0)</f>
        <v>-94242</v>
      </c>
      <c r="D84" s="77">
        <f>IFERROR('cash flow '!D13,0)</f>
        <v>-98742</v>
      </c>
      <c r="E84" s="77">
        <f>IFERROR('cash flow '!E13,0)</f>
        <v>-154081</v>
      </c>
      <c r="F84" s="77">
        <f>IFERROR('cash flow '!F13,0)</f>
        <v>-85683</v>
      </c>
      <c r="G84" s="77">
        <f>IFERROR('cash flow '!G13,0)</f>
        <v>-98330</v>
      </c>
      <c r="H84" s="77">
        <f>IFERROR('cash flow '!H13,0)</f>
        <v>-94187</v>
      </c>
      <c r="I84" s="77">
        <f>IFERROR('cash flow '!I13,0)</f>
        <v>-79835</v>
      </c>
      <c r="J84" s="77">
        <f>IFERROR('cash flow '!J13,0)</f>
        <v>-57553</v>
      </c>
      <c r="K84" s="77">
        <f>IFERROR('cash flow '!K13,0)</f>
        <v>-69776</v>
      </c>
      <c r="L84" s="77">
        <f>IFERROR('cash flow '!L13,0)</f>
        <v>-80932</v>
      </c>
    </row>
    <row r="85" spans="2:12" x14ac:dyDescent="0.35">
      <c r="B85" s="58" t="s">
        <v>125</v>
      </c>
      <c r="C85" s="77">
        <f>IFERROR('cash flow '!C14,0)</f>
        <v>93293</v>
      </c>
      <c r="D85" s="77">
        <f>IFERROR('cash flow '!D14,0)</f>
        <v>99658</v>
      </c>
      <c r="E85" s="77">
        <f>IFERROR('cash flow '!E14,0)</f>
        <v>150651</v>
      </c>
      <c r="F85" s="77">
        <f>IFERROR('cash flow '!F14,0)</f>
        <v>81034</v>
      </c>
      <c r="G85" s="77">
        <f>IFERROR('cash flow '!G14,0)</f>
        <v>95017</v>
      </c>
      <c r="H85" s="77">
        <f>IFERROR('cash flow '!H14,0)</f>
        <v>92454</v>
      </c>
      <c r="I85" s="77">
        <f>IFERROR('cash flow '!I14,0)</f>
        <v>75835</v>
      </c>
      <c r="J85" s="77">
        <f>IFERROR('cash flow '!J14,0)</f>
        <v>62797</v>
      </c>
      <c r="K85" s="77">
        <f>IFERROR('cash flow '!K14,0)</f>
        <v>70992</v>
      </c>
      <c r="L85" s="77">
        <f>IFERROR('cash flow '!L14,0)</f>
        <v>77230</v>
      </c>
    </row>
    <row r="86" spans="2:12" x14ac:dyDescent="0.35">
      <c r="B86" s="58" t="s">
        <v>126</v>
      </c>
      <c r="C86" s="77">
        <f>IFERROR('cash flow '!C15,0)</f>
        <v>374</v>
      </c>
      <c r="D86" s="77">
        <f>IFERROR('cash flow '!D15,0)</f>
        <v>559</v>
      </c>
      <c r="E86" s="77">
        <f>IFERROR('cash flow '!E15,0)</f>
        <v>741</v>
      </c>
      <c r="F86" s="77">
        <f>IFERROR('cash flow '!F15,0)</f>
        <v>756</v>
      </c>
      <c r="G86" s="77">
        <f>IFERROR('cash flow '!G15,0)</f>
        <v>736</v>
      </c>
      <c r="H86" s="77">
        <f>IFERROR('cash flow '!H15,0)</f>
        <v>1184</v>
      </c>
      <c r="I86" s="77">
        <f>IFERROR('cash flow '!I15,0)</f>
        <v>1513</v>
      </c>
      <c r="J86" s="77">
        <f>IFERROR('cash flow '!J15,0)</f>
        <v>1275</v>
      </c>
      <c r="K86" s="77">
        <f>IFERROR('cash flow '!K15,0)</f>
        <v>1035</v>
      </c>
      <c r="L86" s="77">
        <f>IFERROR('cash flow '!L15,0)</f>
        <v>1324</v>
      </c>
    </row>
    <row r="87" spans="2:12" x14ac:dyDescent="0.35">
      <c r="B87" s="58" t="s">
        <v>127</v>
      </c>
      <c r="C87" s="77">
        <f>IFERROR('cash flow '!C16,0)</f>
        <v>192</v>
      </c>
      <c r="D87" s="77">
        <f>IFERROR('cash flow '!D16,0)</f>
        <v>268</v>
      </c>
      <c r="E87" s="77">
        <f>IFERROR('cash flow '!E16,0)</f>
        <v>64</v>
      </c>
      <c r="F87" s="77">
        <f>IFERROR('cash flow '!F16,0)</f>
        <v>4</v>
      </c>
      <c r="G87" s="77">
        <f>IFERROR('cash flow '!G16,0)</f>
        <v>13</v>
      </c>
      <c r="H87" s="77">
        <f>IFERROR('cash flow '!H16,0)</f>
        <v>13</v>
      </c>
      <c r="I87" s="77">
        <f>IFERROR('cash flow '!I16,0)</f>
        <v>17</v>
      </c>
      <c r="J87" s="77">
        <f>IFERROR('cash flow '!J16,0)</f>
        <v>7</v>
      </c>
      <c r="K87" s="77">
        <f>IFERROR('cash flow '!K16,0)</f>
        <v>16</v>
      </c>
      <c r="L87" s="77">
        <f>IFERROR('cash flow '!L16,0)</f>
        <v>19</v>
      </c>
    </row>
    <row r="88" spans="2:12" x14ac:dyDescent="0.35">
      <c r="B88" s="58" t="s">
        <v>128</v>
      </c>
      <c r="C88" s="77">
        <f>IFERROR('cash flow '!C17,0)</f>
        <v>0</v>
      </c>
      <c r="D88" s="77">
        <f>IFERROR('cash flow '!D17,0)</f>
        <v>0</v>
      </c>
      <c r="E88" s="77">
        <f>IFERROR('cash flow '!E17,0)</f>
        <v>-8</v>
      </c>
      <c r="F88" s="77">
        <f>IFERROR('cash flow '!F17,0)</f>
        <v>0</v>
      </c>
      <c r="G88" s="77">
        <f>IFERROR('cash flow '!G17,0)</f>
        <v>0</v>
      </c>
      <c r="H88" s="77">
        <f>IFERROR('cash flow '!H17,0)</f>
        <v>0</v>
      </c>
      <c r="I88" s="77">
        <f>IFERROR('cash flow '!I17,0)</f>
        <v>0</v>
      </c>
      <c r="J88" s="77">
        <f>IFERROR('cash flow '!J17,0)</f>
        <v>0</v>
      </c>
      <c r="K88" s="77">
        <f>IFERROR('cash flow '!K17,0)</f>
        <v>0</v>
      </c>
      <c r="L88" s="77">
        <f>IFERROR('cash flow '!L17,0)</f>
        <v>0</v>
      </c>
    </row>
    <row r="89" spans="2:12" x14ac:dyDescent="0.35">
      <c r="B89" s="58" t="s">
        <v>129</v>
      </c>
      <c r="C89" s="77">
        <f>IFERROR('cash flow '!C18,0)</f>
        <v>0</v>
      </c>
      <c r="D89" s="77">
        <f>IFERROR('cash flow '!D18,0)</f>
        <v>0</v>
      </c>
      <c r="E89" s="77">
        <f>IFERROR('cash flow '!E18,0)</f>
        <v>0</v>
      </c>
      <c r="F89" s="77">
        <f>IFERROR('cash flow '!F18,0)</f>
        <v>0</v>
      </c>
      <c r="G89" s="77">
        <f>IFERROR('cash flow '!G18,0)</f>
        <v>0</v>
      </c>
      <c r="H89" s="77">
        <f>IFERROR('cash flow '!H18,0)</f>
        <v>0</v>
      </c>
      <c r="I89" s="77">
        <f>IFERROR('cash flow '!I18,0)</f>
        <v>0</v>
      </c>
      <c r="J89" s="77">
        <f>IFERROR('cash flow '!J18,0)</f>
        <v>-2</v>
      </c>
      <c r="K89" s="77">
        <f>IFERROR('cash flow '!K18,0)</f>
        <v>-2</v>
      </c>
      <c r="L89" s="77">
        <f>IFERROR('cash flow '!L18,0)</f>
        <v>-2</v>
      </c>
    </row>
    <row r="90" spans="2:12" x14ac:dyDescent="0.35">
      <c r="B90" s="58" t="s">
        <v>130</v>
      </c>
      <c r="C90" s="77">
        <f>IFERROR('cash flow '!C19,0)</f>
        <v>0</v>
      </c>
      <c r="D90" s="77">
        <f>IFERROR('cash flow '!D19,0)</f>
        <v>0</v>
      </c>
      <c r="E90" s="77">
        <f>IFERROR('cash flow '!E19,0)</f>
        <v>0</v>
      </c>
      <c r="F90" s="77">
        <f>IFERROR('cash flow '!F19,0)</f>
        <v>129</v>
      </c>
      <c r="G90" s="77">
        <f>IFERROR('cash flow '!G19,0)</f>
        <v>18</v>
      </c>
      <c r="H90" s="77">
        <f>IFERROR('cash flow '!H19,0)</f>
        <v>18</v>
      </c>
      <c r="I90" s="77">
        <f>IFERROR('cash flow '!I19,0)</f>
        <v>0</v>
      </c>
      <c r="J90" s="77">
        <f>IFERROR('cash flow '!J19,0)</f>
        <v>0</v>
      </c>
      <c r="K90" s="77">
        <f>IFERROR('cash flow '!K19,0)</f>
        <v>0</v>
      </c>
      <c r="L90" s="77">
        <f>IFERROR('cash flow '!L19,0)</f>
        <v>56</v>
      </c>
    </row>
    <row r="91" spans="2:12" x14ac:dyDescent="0.35">
      <c r="B91" s="58" t="s">
        <v>131</v>
      </c>
      <c r="C91" s="77">
        <f>IFERROR('cash flow '!C20,0)</f>
        <v>-21</v>
      </c>
      <c r="D91" s="77">
        <f>IFERROR('cash flow '!D20,0)</f>
        <v>-3728</v>
      </c>
      <c r="E91" s="77">
        <f>IFERROR('cash flow '!E20,0)</f>
        <v>1052</v>
      </c>
      <c r="F91" s="77">
        <f>IFERROR('cash flow '!F20,0)</f>
        <v>3579</v>
      </c>
      <c r="G91" s="77">
        <f>IFERROR('cash flow '!G20,0)</f>
        <v>-1769</v>
      </c>
      <c r="H91" s="77">
        <f>IFERROR('cash flow '!H20,0)</f>
        <v>-1887</v>
      </c>
      <c r="I91" s="77">
        <f>IFERROR('cash flow '!I20,0)</f>
        <v>-1290</v>
      </c>
      <c r="J91" s="77">
        <f>IFERROR('cash flow '!J20,0)</f>
        <v>1051</v>
      </c>
      <c r="K91" s="77">
        <f>IFERROR('cash flow '!K20,0)</f>
        <v>-2494</v>
      </c>
      <c r="L91" s="77">
        <f>IFERROR('cash flow '!L20,0)</f>
        <v>-733</v>
      </c>
    </row>
    <row r="92" spans="2:12" x14ac:dyDescent="0.35">
      <c r="B92" s="58" t="s">
        <v>132</v>
      </c>
      <c r="C92" s="77">
        <f>IFERROR('cash flow '!C21,0)</f>
        <v>-4122</v>
      </c>
      <c r="D92" s="77">
        <f>IFERROR('cash flow '!D21,0)</f>
        <v>-4661</v>
      </c>
      <c r="E92" s="77">
        <f>IFERROR('cash flow '!E21,0)</f>
        <v>-5613</v>
      </c>
      <c r="F92" s="77">
        <f>IFERROR('cash flow '!F21,0)</f>
        <v>-7301</v>
      </c>
      <c r="G92" s="77">
        <f>IFERROR('cash flow '!G21,0)</f>
        <v>-6221</v>
      </c>
      <c r="H92" s="77">
        <f>IFERROR('cash flow '!H21,0)</f>
        <v>-6869</v>
      </c>
      <c r="I92" s="77">
        <f>IFERROR('cash flow '!I21,0)</f>
        <v>-8181</v>
      </c>
      <c r="J92" s="77">
        <f>IFERROR('cash flow '!J21,0)</f>
        <v>-18634</v>
      </c>
      <c r="K92" s="77">
        <f>IFERROR('cash flow '!K21,0)</f>
        <v>-13580</v>
      </c>
      <c r="L92" s="77">
        <f>IFERROR('cash flow '!L21,0)</f>
        <v>-13006</v>
      </c>
    </row>
    <row r="93" spans="2:12" x14ac:dyDescent="0.35">
      <c r="B93" s="58" t="s">
        <v>133</v>
      </c>
      <c r="C93" s="77">
        <f>IFERROR('cash flow '!C22,0)</f>
        <v>691</v>
      </c>
      <c r="D93" s="77">
        <f>IFERROR('cash flow '!D22,0)</f>
        <v>979</v>
      </c>
      <c r="E93" s="77">
        <f>IFERROR('cash flow '!E22,0)</f>
        <v>532</v>
      </c>
      <c r="F93" s="77">
        <f>IFERROR('cash flow '!F22,0)</f>
        <v>1067</v>
      </c>
      <c r="G93" s="77">
        <f>IFERROR('cash flow '!G22,0)</f>
        <v>913</v>
      </c>
      <c r="H93" s="77">
        <f>IFERROR('cash flow '!H22,0)</f>
        <v>969</v>
      </c>
      <c r="I93" s="77">
        <f>IFERROR('cash flow '!I22,0)</f>
        <v>625</v>
      </c>
      <c r="J93" s="77">
        <f>IFERROR('cash flow '!J22,0)</f>
        <v>291</v>
      </c>
      <c r="K93" s="77">
        <f>IFERROR('cash flow '!K22,0)</f>
        <v>292</v>
      </c>
      <c r="L93" s="77">
        <f>IFERROR('cash flow '!L22,0)</f>
        <v>2477</v>
      </c>
    </row>
    <row r="94" spans="2:12" ht="15" thickBot="1" x14ac:dyDescent="0.4">
      <c r="B94" s="58" t="s">
        <v>134</v>
      </c>
      <c r="C94" s="77">
        <f>IFERROR('cash flow '!C23,0)</f>
        <v>156</v>
      </c>
      <c r="D94" s="77">
        <f>IFERROR('cash flow '!D23,0)</f>
        <v>7</v>
      </c>
      <c r="E94" s="77">
        <f>IFERROR('cash flow '!E23,0)</f>
        <v>0</v>
      </c>
      <c r="F94" s="77">
        <f>IFERROR('cash flow '!F23,0)</f>
        <v>0</v>
      </c>
      <c r="G94" s="77">
        <f>IFERROR('cash flow '!G23,0)</f>
        <v>11</v>
      </c>
      <c r="H94" s="77">
        <f>IFERROR('cash flow '!H23,0)</f>
        <v>0</v>
      </c>
      <c r="I94" s="77">
        <f>IFERROR('cash flow '!I23,0)</f>
        <v>0</v>
      </c>
      <c r="J94" s="77">
        <f>IFERROR('cash flow '!J23,0)</f>
        <v>0</v>
      </c>
      <c r="K94" s="77">
        <f>IFERROR('cash flow '!K23,0)</f>
        <v>0</v>
      </c>
      <c r="L94" s="77">
        <f>IFERROR('cash flow '!L23,0)</f>
        <v>0</v>
      </c>
    </row>
    <row r="95" spans="2:12" x14ac:dyDescent="0.35">
      <c r="B95" s="66" t="s">
        <v>144</v>
      </c>
      <c r="C95" s="77">
        <f>SUM(C84:C94)</f>
        <v>-3679</v>
      </c>
      <c r="D95" s="77">
        <f t="shared" ref="D95:L95" si="22">SUM(D84:D94)</f>
        <v>-5660</v>
      </c>
      <c r="E95" s="77">
        <f t="shared" si="22"/>
        <v>-6662</v>
      </c>
      <c r="F95" s="77">
        <f t="shared" si="22"/>
        <v>-6415</v>
      </c>
      <c r="G95" s="77">
        <f t="shared" si="22"/>
        <v>-9612</v>
      </c>
      <c r="H95" s="77">
        <f t="shared" si="22"/>
        <v>-8305</v>
      </c>
      <c r="I95" s="77">
        <f t="shared" si="22"/>
        <v>-11316</v>
      </c>
      <c r="J95" s="77">
        <f t="shared" si="22"/>
        <v>-10768</v>
      </c>
      <c r="K95" s="77">
        <f t="shared" si="22"/>
        <v>-13517</v>
      </c>
      <c r="L95" s="77">
        <f t="shared" si="22"/>
        <v>-13567</v>
      </c>
    </row>
    <row r="97" spans="2:12" x14ac:dyDescent="0.35">
      <c r="B97" s="2" t="s">
        <v>149</v>
      </c>
    </row>
    <row r="98" spans="2:12" x14ac:dyDescent="0.35">
      <c r="B98" s="57" t="s">
        <v>135</v>
      </c>
      <c r="C98" s="72">
        <f>IFERROR('cash flow '!C25,0)</f>
        <v>-48</v>
      </c>
      <c r="D98" s="72">
        <f>IFERROR('cash flow '!D25,0)</f>
        <v>-16</v>
      </c>
      <c r="E98" s="72">
        <f>IFERROR('cash flow '!E25,0)</f>
        <v>-28</v>
      </c>
      <c r="F98" s="72">
        <f>IFERROR('cash flow '!F25,0)</f>
        <v>-25</v>
      </c>
      <c r="G98" s="72">
        <f>IFERROR('cash flow '!G25,0)</f>
        <v>-49</v>
      </c>
      <c r="H98" s="72">
        <f>IFERROR('cash flow '!H25,0)</f>
        <v>-98</v>
      </c>
      <c r="I98" s="72">
        <f>IFERROR('cash flow '!I25,0)</f>
        <v>-44</v>
      </c>
      <c r="J98" s="72">
        <f>IFERROR('cash flow '!J25,0)</f>
        <v>-41</v>
      </c>
      <c r="K98" s="72">
        <f>IFERROR('cash flow '!K25,0)</f>
        <v>-40</v>
      </c>
      <c r="L98" s="72">
        <f>IFERROR('cash flow '!L25,0)</f>
        <v>-41</v>
      </c>
    </row>
    <row r="99" spans="2:12" x14ac:dyDescent="0.35">
      <c r="B99" s="57" t="s">
        <v>136</v>
      </c>
      <c r="C99" s="72">
        <f>IFERROR('cash flow '!C26,0)</f>
        <v>-4239</v>
      </c>
      <c r="D99" s="72">
        <f>IFERROR('cash flow '!D26,0)</f>
        <v>-4876</v>
      </c>
      <c r="E99" s="72">
        <f>IFERROR('cash flow '!E26,0)</f>
        <v>-5133</v>
      </c>
      <c r="F99" s="72">
        <f>IFERROR('cash flow '!F26,0)</f>
        <v>-6994</v>
      </c>
      <c r="G99" s="72">
        <f>IFERROR('cash flow '!G26,0)</f>
        <v>-5952</v>
      </c>
      <c r="H99" s="72">
        <f>IFERROR('cash flow '!H26,0)</f>
        <v>-6519</v>
      </c>
      <c r="I99" s="72">
        <f>IFERROR('cash flow '!I26,0)</f>
        <v>-7302</v>
      </c>
      <c r="J99" s="72">
        <f>IFERROR('cash flow '!J26,0)</f>
        <v>-18881</v>
      </c>
      <c r="K99" s="72">
        <f>IFERROR('cash flow '!K26,0)</f>
        <v>-13788</v>
      </c>
      <c r="L99" s="72">
        <f>IFERROR('cash flow '!L26,0)</f>
        <v>-15418</v>
      </c>
    </row>
    <row r="100" spans="2:12" x14ac:dyDescent="0.35">
      <c r="B100" s="57" t="s">
        <v>137</v>
      </c>
      <c r="C100" s="72">
        <f>IFERROR('cash flow '!C27,0)</f>
        <v>0</v>
      </c>
      <c r="D100" s="72">
        <f>IFERROR('cash flow '!D27,0)</f>
        <v>0</v>
      </c>
      <c r="E100" s="72">
        <f>IFERROR('cash flow '!E27,0)</f>
        <v>0</v>
      </c>
      <c r="F100" s="72">
        <f>IFERROR('cash flow '!F27,0)</f>
        <v>0</v>
      </c>
      <c r="G100" s="72">
        <f>IFERROR('cash flow '!G27,0)</f>
        <v>0</v>
      </c>
      <c r="H100" s="72">
        <f>IFERROR('cash flow '!H27,0)</f>
        <v>0</v>
      </c>
      <c r="I100" s="72">
        <f>IFERROR('cash flow '!I27,0)</f>
        <v>-49</v>
      </c>
      <c r="J100" s="72">
        <f>IFERROR('cash flow '!J27,0)</f>
        <v>-55</v>
      </c>
      <c r="K100" s="72">
        <f>IFERROR('cash flow '!K27,0)</f>
        <v>-59</v>
      </c>
      <c r="L100" s="72">
        <f>IFERROR('cash flow '!L27,0)</f>
        <v>-59</v>
      </c>
    </row>
    <row r="101" spans="2:12" x14ac:dyDescent="0.35">
      <c r="B101" s="57" t="s">
        <v>138</v>
      </c>
      <c r="C101" s="72">
        <f>IFERROR('cash flow '!C28,0)</f>
        <v>-667</v>
      </c>
      <c r="D101" s="72">
        <f>IFERROR('cash flow '!D28,0)</f>
        <v>-734</v>
      </c>
      <c r="E101" s="72">
        <f>IFERROR('cash flow '!E28,0)</f>
        <v>-971</v>
      </c>
      <c r="F101" s="72">
        <f>IFERROR('cash flow '!F28,0)</f>
        <v>-1335</v>
      </c>
      <c r="G101" s="72">
        <f>IFERROR('cash flow '!G28,0)</f>
        <v>-1136</v>
      </c>
      <c r="H101" s="72">
        <f>IFERROR('cash flow '!H28,0)</f>
        <v>-1203</v>
      </c>
      <c r="I101" s="72">
        <f>IFERROR('cash flow '!I28,0)</f>
        <v>-1409</v>
      </c>
      <c r="J101" s="72">
        <f>IFERROR('cash flow '!J28,0)</f>
        <v>55</v>
      </c>
      <c r="K101" s="72">
        <f>IFERROR('cash flow '!K28,0)</f>
        <v>15</v>
      </c>
      <c r="L101" s="72">
        <f>IFERROR('cash flow '!L28,0)</f>
        <v>35</v>
      </c>
    </row>
    <row r="102" spans="2:12" x14ac:dyDescent="0.35">
      <c r="B102" s="57" t="s">
        <v>139</v>
      </c>
      <c r="C102" s="72">
        <f>IFERROR('cash flow '!C29,0)</f>
        <v>-32</v>
      </c>
      <c r="D102" s="72">
        <f>IFERROR('cash flow '!D29,0)</f>
        <v>-93</v>
      </c>
      <c r="E102" s="72">
        <f>IFERROR('cash flow '!E29,0)</f>
        <v>266</v>
      </c>
      <c r="F102" s="72">
        <f>IFERROR('cash flow '!F29,0)</f>
        <v>75</v>
      </c>
      <c r="G102" s="72">
        <f>IFERROR('cash flow '!G29,0)</f>
        <v>-166</v>
      </c>
      <c r="H102" s="72">
        <f>IFERROR('cash flow '!H29,0)</f>
        <v>169</v>
      </c>
      <c r="I102" s="72">
        <f>IFERROR('cash flow '!I29,0)</f>
        <v>334</v>
      </c>
      <c r="J102" s="72">
        <f>IFERROR('cash flow '!J29,0)</f>
        <v>-367</v>
      </c>
      <c r="K102" s="72">
        <f>IFERROR('cash flow '!K29,0)</f>
        <v>-43</v>
      </c>
      <c r="L102" s="72">
        <f>IFERROR('cash flow '!L29,0)</f>
        <v>139</v>
      </c>
    </row>
    <row r="103" spans="2:12" x14ac:dyDescent="0.35">
      <c r="B103" s="57" t="s">
        <v>140</v>
      </c>
      <c r="C103" s="72">
        <f>IFERROR('cash flow '!C30,0)</f>
        <v>4495</v>
      </c>
      <c r="D103" s="72">
        <f>IFERROR('cash flow '!D30,0)</f>
        <v>6552</v>
      </c>
      <c r="E103" s="72">
        <f>IFERROR('cash flow '!E30,0)</f>
        <v>7459</v>
      </c>
      <c r="F103" s="72">
        <f>IFERROR('cash flow '!F30,0)</f>
        <v>7556</v>
      </c>
      <c r="G103" s="72">
        <f>IFERROR('cash flow '!G30,0)</f>
        <v>10371</v>
      </c>
      <c r="H103" s="72">
        <f>IFERROR('cash flow '!H30,0)</f>
        <v>9442</v>
      </c>
      <c r="I103" s="72">
        <f>IFERROR('cash flow '!I30,0)</f>
        <v>12276</v>
      </c>
      <c r="J103" s="72">
        <f>IFERROR('cash flow '!J30,0)</f>
        <v>10693</v>
      </c>
      <c r="K103" s="72">
        <f>IFERROR('cash flow '!K30,0)</f>
        <v>13767</v>
      </c>
      <c r="L103" s="72">
        <f>IFERROR('cash flow '!L30,0)</f>
        <v>16184</v>
      </c>
    </row>
    <row r="104" spans="2:12" ht="15" thickBot="1" x14ac:dyDescent="0.4">
      <c r="B104" s="57" t="s">
        <v>141</v>
      </c>
      <c r="C104" s="72">
        <f>IFERROR('cash flow '!C31,0)</f>
        <v>0.87</v>
      </c>
      <c r="D104" s="72">
        <f>IFERROR('cash flow '!D31,0)</f>
        <v>1</v>
      </c>
      <c r="E104" s="72">
        <f>IFERROR('cash flow '!E31,0)</f>
        <v>1.02</v>
      </c>
      <c r="F104" s="72">
        <f>IFERROR('cash flow '!F31,0)</f>
        <v>1.04</v>
      </c>
      <c r="G104" s="72">
        <f>IFERROR('cash flow '!G31,0)</f>
        <v>1.1599999999999999</v>
      </c>
      <c r="H104" s="72">
        <f>IFERROR('cash flow '!H31,0)</f>
        <v>0.99</v>
      </c>
      <c r="I104" s="72">
        <f>IFERROR('cash flow '!I31,0)</f>
        <v>1.02</v>
      </c>
      <c r="J104" s="72">
        <f>IFERROR('cash flow '!J31,0)</f>
        <v>0.99</v>
      </c>
      <c r="K104" s="72">
        <f>IFERROR('cash flow '!K31,0)</f>
        <v>1.01</v>
      </c>
      <c r="L104" s="72">
        <f>IFERROR('cash flow '!L31,0)</f>
        <v>0.98</v>
      </c>
    </row>
    <row r="105" spans="2:12" x14ac:dyDescent="0.35">
      <c r="B105" s="65" t="s">
        <v>145</v>
      </c>
      <c r="C105" s="72">
        <f>SUM(C98:C104)</f>
        <v>-490.13</v>
      </c>
      <c r="D105" s="72">
        <f t="shared" ref="D105:L105" si="23">SUM(D98:D104)</f>
        <v>834</v>
      </c>
      <c r="E105" s="72">
        <f t="shared" si="23"/>
        <v>1594.02</v>
      </c>
      <c r="F105" s="72">
        <f t="shared" si="23"/>
        <v>-721.96</v>
      </c>
      <c r="G105" s="72">
        <f t="shared" si="23"/>
        <v>3069.16</v>
      </c>
      <c r="H105" s="72">
        <f t="shared" si="23"/>
        <v>1791.99</v>
      </c>
      <c r="I105" s="72">
        <f t="shared" si="23"/>
        <v>3807.02</v>
      </c>
      <c r="J105" s="72">
        <f t="shared" si="23"/>
        <v>-8595.01</v>
      </c>
      <c r="K105" s="72">
        <f t="shared" si="23"/>
        <v>-146.99</v>
      </c>
      <c r="L105" s="72">
        <f t="shared" si="23"/>
        <v>840.98</v>
      </c>
    </row>
    <row r="107" spans="2:12" x14ac:dyDescent="0.35">
      <c r="B107" s="2" t="s">
        <v>150</v>
      </c>
      <c r="C107" s="78">
        <f>SUM(C81+C95+C105)</f>
        <v>-2871.13</v>
      </c>
      <c r="D107" s="78">
        <f t="shared" ref="D107:L107" si="24">SUM(D81+D95+D105)</f>
        <v>-1574</v>
      </c>
      <c r="E107" s="78">
        <f t="shared" si="24"/>
        <v>-769.98</v>
      </c>
      <c r="F107" s="78">
        <f t="shared" si="24"/>
        <v>-2223.96</v>
      </c>
      <c r="G107" s="78">
        <f t="shared" si="24"/>
        <v>-3149.84</v>
      </c>
      <c r="H107" s="78">
        <f t="shared" si="24"/>
        <v>-143.01</v>
      </c>
      <c r="I107" s="78">
        <f t="shared" si="24"/>
        <v>8506.02</v>
      </c>
      <c r="J107" s="78">
        <f t="shared" si="24"/>
        <v>-8067.01</v>
      </c>
      <c r="K107" s="78">
        <f t="shared" si="24"/>
        <v>-4184.99</v>
      </c>
      <c r="L107" s="78">
        <f t="shared" si="24"/>
        <v>-886.02</v>
      </c>
    </row>
  </sheetData>
  <conditionalFormatting sqref="C68:L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14:D14 M20 M23 M29 E14:L14 M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F7FC-6EE1-4E9B-99CF-26941068602D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15F-8F57-44CB-BC88-4280FDB1CFA7}">
  <sheetPr>
    <tabColor theme="8" tint="-0.499984740745262"/>
  </sheetPr>
  <dimension ref="A1"/>
  <sheetViews>
    <sheetView showGridLines="0" workbookViewId="0">
      <selection activeCell="H15" sqref="H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Profit &amp; Loss</vt:lpstr>
      <vt:lpstr>Quarters</vt:lpstr>
      <vt:lpstr>Balance Sheet</vt:lpstr>
      <vt:lpstr>Cash Flow</vt:lpstr>
      <vt:lpstr>Data Sheet</vt:lpstr>
      <vt:lpstr>cash flow </vt:lpstr>
      <vt:lpstr>historical sf </vt:lpstr>
      <vt:lpstr>fiancials&gt;</vt:lpstr>
      <vt:lpstr>data&gt;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divyansh rathode</cp:lastModifiedBy>
  <cp:lastPrinted>2026-05-05T15:51:46Z</cp:lastPrinted>
  <dcterms:created xsi:type="dcterms:W3CDTF">2012-08-17T09:55:37Z</dcterms:created>
  <dcterms:modified xsi:type="dcterms:W3CDTF">2026-05-09T09:42:28Z</dcterms:modified>
</cp:coreProperties>
</file>