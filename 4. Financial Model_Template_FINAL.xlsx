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8"/>
  <workbookPr filterPrivacy="1" codeName="ThisWorkbook" defaultThemeVersion="124226"/>
  <xr:revisionPtr revIDLastSave="0" documentId="13_ncr:1_{08F11953-723E-A24C-88BF-49E768DBD632}" xr6:coauthVersionLast="47" xr6:coauthVersionMax="47" xr10:uidLastSave="{00000000-0000-0000-0000-000000000000}"/>
  <bookViews>
    <workbookView xWindow="0" yWindow="500" windowWidth="38400" windowHeight="19900" tabRatio="948" xr2:uid="{00000000-000D-0000-FFFF-FFFF00000000}"/>
  </bookViews>
  <sheets>
    <sheet name=" " sheetId="34" r:id="rId1"/>
    <sheet name="Snapshot" sheetId="1" r:id="rId2"/>
    <sheet name="Assumptions" sheetId="2" r:id="rId3"/>
    <sheet name="Project Cost" sheetId="3" r:id="rId4"/>
    <sheet name="Capex, Debt" sheetId="4" r:id="rId5"/>
    <sheet name="CoP" sheetId="24" r:id="rId6"/>
    <sheet name="Depreciation" sheetId="22" r:id="rId7"/>
    <sheet name="WC" sheetId="25" r:id="rId8"/>
    <sheet name="PL" sheetId="26" r:id="rId9"/>
    <sheet name="CF" sheetId="8" r:id="rId10"/>
    <sheet name="BS" sheetId="9" r:id="rId11"/>
    <sheet name="Ratio" sheetId="44" r:id="rId12"/>
    <sheet name="KFR" sheetId="33" r:id="rId13"/>
    <sheet name="Sensitivity" sheetId="36" r:id="rId14"/>
    <sheet name="Sheet2" sheetId="46" r:id="rId15"/>
    <sheet name="Sheet1" sheetId="45" r:id="rId16"/>
  </sheets>
  <definedNames>
    <definedName name="CAP">Sensitivity!$E$11</definedName>
    <definedName name="INTR">Sensitivity!$E$10</definedName>
    <definedName name="Lacs">Assumptions!$D$151</definedName>
    <definedName name="OP">Sensitivity!$E$8</definedName>
    <definedName name="PC">Sensitivity!$E$6</definedName>
    <definedName name="RM">Sensitivity!$E$7</definedName>
    <definedName name="SP">Sensitivity!$E$9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23" i="33" l="1"/>
  <c r="F23" i="33"/>
  <c r="G23" i="33"/>
  <c r="H23" i="33"/>
  <c r="I23" i="33"/>
  <c r="J23" i="33"/>
  <c r="K23" i="33"/>
  <c r="L23" i="33"/>
  <c r="M23" i="33"/>
  <c r="E24" i="33"/>
  <c r="F24" i="33"/>
  <c r="G24" i="33"/>
  <c r="H24" i="33"/>
  <c r="I24" i="33"/>
  <c r="J24" i="33"/>
  <c r="K24" i="33"/>
  <c r="L24" i="33"/>
  <c r="M24" i="33"/>
  <c r="D24" i="33"/>
  <c r="D23" i="33"/>
  <c r="C5" i="46"/>
  <c r="C7" i="46" s="1"/>
  <c r="E61" i="44"/>
  <c r="F61" i="44"/>
  <c r="G61" i="44"/>
  <c r="H61" i="44"/>
  <c r="I61" i="44"/>
  <c r="J61" i="44"/>
  <c r="K61" i="44"/>
  <c r="L61" i="44"/>
  <c r="M61" i="44"/>
  <c r="E62" i="44"/>
  <c r="F62" i="44"/>
  <c r="G62" i="44"/>
  <c r="H62" i="44"/>
  <c r="I62" i="44"/>
  <c r="J62" i="44"/>
  <c r="K62" i="44"/>
  <c r="L62" i="44"/>
  <c r="M62" i="44"/>
  <c r="D62" i="44"/>
  <c r="D61" i="44"/>
  <c r="G38" i="44"/>
  <c r="G37" i="44"/>
  <c r="D39" i="44"/>
  <c r="D38" i="44"/>
  <c r="E22" i="44"/>
  <c r="F22" i="44"/>
  <c r="G22" i="44"/>
  <c r="H22" i="44"/>
  <c r="H23" i="44" s="1"/>
  <c r="I22" i="44"/>
  <c r="I23" i="44" s="1"/>
  <c r="J22" i="44"/>
  <c r="K22" i="44"/>
  <c r="L22" i="44"/>
  <c r="L23" i="44" s="1"/>
  <c r="M22" i="44"/>
  <c r="E23" i="44"/>
  <c r="F23" i="44"/>
  <c r="G23" i="44"/>
  <c r="J23" i="44"/>
  <c r="K23" i="44"/>
  <c r="M23" i="44"/>
  <c r="E11" i="44"/>
  <c r="F11" i="44"/>
  <c r="G11" i="44"/>
  <c r="H11" i="44"/>
  <c r="I11" i="44"/>
  <c r="J11" i="44"/>
  <c r="K11" i="44"/>
  <c r="L11" i="44"/>
  <c r="M11" i="44"/>
  <c r="E102" i="2"/>
  <c r="D11" i="44"/>
  <c r="E11" i="9"/>
  <c r="F11" i="9"/>
  <c r="G11" i="9"/>
  <c r="H11" i="9"/>
  <c r="I11" i="9"/>
  <c r="J11" i="9"/>
  <c r="K11" i="9"/>
  <c r="L11" i="9"/>
  <c r="M11" i="9"/>
  <c r="E16" i="9"/>
  <c r="F16" i="9"/>
  <c r="G16" i="9"/>
  <c r="H16" i="9"/>
  <c r="I16" i="9"/>
  <c r="J16" i="9"/>
  <c r="K16" i="9"/>
  <c r="L16" i="9"/>
  <c r="M16" i="9"/>
  <c r="D11" i="9"/>
  <c r="D16" i="9"/>
  <c r="E15" i="9"/>
  <c r="F15" i="9"/>
  <c r="G15" i="9"/>
  <c r="H15" i="9"/>
  <c r="I15" i="9"/>
  <c r="J15" i="9"/>
  <c r="K15" i="9"/>
  <c r="L15" i="9"/>
  <c r="M15" i="9"/>
  <c r="D15" i="9"/>
  <c r="E17" i="8"/>
  <c r="F17" i="8"/>
  <c r="G17" i="8"/>
  <c r="H17" i="8"/>
  <c r="I17" i="8"/>
  <c r="J17" i="8"/>
  <c r="K17" i="8"/>
  <c r="L17" i="8"/>
  <c r="M17" i="8"/>
  <c r="D17" i="8"/>
  <c r="D11" i="8"/>
  <c r="D28" i="26"/>
  <c r="D24" i="26"/>
  <c r="E21" i="26"/>
  <c r="F21" i="26"/>
  <c r="G21" i="26"/>
  <c r="H21" i="26"/>
  <c r="I21" i="26"/>
  <c r="J21" i="26"/>
  <c r="K21" i="26"/>
  <c r="L21" i="26"/>
  <c r="M21" i="26"/>
  <c r="D21" i="26"/>
  <c r="E8" i="26"/>
  <c r="F8" i="26"/>
  <c r="G8" i="26"/>
  <c r="H8" i="26"/>
  <c r="I8" i="26"/>
  <c r="J8" i="26"/>
  <c r="K8" i="26"/>
  <c r="L8" i="26"/>
  <c r="M8" i="26"/>
  <c r="D8" i="26"/>
  <c r="F187" i="22"/>
  <c r="G187" i="22"/>
  <c r="H187" i="22"/>
  <c r="I187" i="22"/>
  <c r="J187" i="22"/>
  <c r="K187" i="22"/>
  <c r="L187" i="22"/>
  <c r="M187" i="22"/>
  <c r="N187" i="22"/>
  <c r="E186" i="22"/>
  <c r="F109" i="22"/>
  <c r="G109" i="22"/>
  <c r="H109" i="22"/>
  <c r="I109" i="22"/>
  <c r="J109" i="22"/>
  <c r="K109" i="22"/>
  <c r="L109" i="22"/>
  <c r="M109" i="22"/>
  <c r="N109" i="22"/>
  <c r="E108" i="22"/>
  <c r="D14" i="46" l="1"/>
  <c r="A14" i="24"/>
  <c r="A17" i="24"/>
  <c r="H37" i="24"/>
  <c r="I37" i="24" s="1"/>
  <c r="J37" i="24" s="1"/>
  <c r="K37" i="24" s="1"/>
  <c r="L37" i="24" s="1"/>
  <c r="M37" i="24" s="1"/>
  <c r="N37" i="24" s="1"/>
  <c r="G37" i="24"/>
  <c r="F37" i="24"/>
  <c r="E37" i="24"/>
  <c r="F36" i="24"/>
  <c r="E20" i="26" s="1"/>
  <c r="E36" i="24"/>
  <c r="D20" i="26" s="1"/>
  <c r="G102" i="2"/>
  <c r="H102" i="2" s="1"/>
  <c r="I102" i="2" s="1"/>
  <c r="J102" i="2" s="1"/>
  <c r="K102" i="2" s="1"/>
  <c r="L102" i="2" s="1"/>
  <c r="M102" i="2" s="1"/>
  <c r="N102" i="2" s="1"/>
  <c r="N36" i="24" s="1"/>
  <c r="M20" i="26" s="1"/>
  <c r="F102" i="2"/>
  <c r="F7" i="24"/>
  <c r="G7" i="24"/>
  <c r="H7" i="24"/>
  <c r="I7" i="24"/>
  <c r="J7" i="24"/>
  <c r="K7" i="24"/>
  <c r="L7" i="24"/>
  <c r="M7" i="24"/>
  <c r="N7" i="24"/>
  <c r="E7" i="24"/>
  <c r="O113" i="4"/>
  <c r="P113" i="4"/>
  <c r="Q113" i="4"/>
  <c r="O114" i="4"/>
  <c r="P114" i="4"/>
  <c r="Q114" i="4"/>
  <c r="O115" i="4"/>
  <c r="P115" i="4"/>
  <c r="Q115" i="4"/>
  <c r="E108" i="4"/>
  <c r="O110" i="4"/>
  <c r="P110" i="4"/>
  <c r="Q110" i="4"/>
  <c r="Q109" i="4"/>
  <c r="P109" i="4"/>
  <c r="O109" i="4"/>
  <c r="N109" i="4"/>
  <c r="M109" i="4"/>
  <c r="L109" i="4"/>
  <c r="K109" i="4"/>
  <c r="J109" i="4"/>
  <c r="I109" i="4"/>
  <c r="H109" i="4"/>
  <c r="G109" i="4"/>
  <c r="F109" i="4"/>
  <c r="E78" i="4"/>
  <c r="E79" i="4"/>
  <c r="E82" i="4"/>
  <c r="E83" i="4"/>
  <c r="E87" i="4"/>
  <c r="K71" i="4"/>
  <c r="L71" i="4"/>
  <c r="M71" i="4"/>
  <c r="N71" i="4"/>
  <c r="O71" i="4"/>
  <c r="P71" i="4"/>
  <c r="Q71" i="4"/>
  <c r="R71" i="4"/>
  <c r="S71" i="4"/>
  <c r="T71" i="4"/>
  <c r="U71" i="4"/>
  <c r="V71" i="4"/>
  <c r="W71" i="4"/>
  <c r="X71" i="4"/>
  <c r="Y71" i="4"/>
  <c r="Z71" i="4"/>
  <c r="AA71" i="4"/>
  <c r="AB71" i="4"/>
  <c r="AC71" i="4"/>
  <c r="AD71" i="4"/>
  <c r="AE71" i="4"/>
  <c r="AF71" i="4"/>
  <c r="AG71" i="4"/>
  <c r="AH71" i="4"/>
  <c r="AI71" i="4"/>
  <c r="AJ71" i="4"/>
  <c r="AK71" i="4"/>
  <c r="AL71" i="4"/>
  <c r="AM71" i="4"/>
  <c r="AN71" i="4"/>
  <c r="AO71" i="4"/>
  <c r="AP71" i="4"/>
  <c r="AQ71" i="4"/>
  <c r="AR71" i="4"/>
  <c r="AS71" i="4"/>
  <c r="AT71" i="4"/>
  <c r="AU71" i="4"/>
  <c r="AV71" i="4"/>
  <c r="AW71" i="4"/>
  <c r="AX71" i="4"/>
  <c r="AY71" i="4"/>
  <c r="AZ71" i="4"/>
  <c r="BA71" i="4"/>
  <c r="BB71" i="4"/>
  <c r="BC71" i="4"/>
  <c r="BD71" i="4"/>
  <c r="BE71" i="4"/>
  <c r="BF71" i="4"/>
  <c r="BG71" i="4"/>
  <c r="BH71" i="4"/>
  <c r="BI71" i="4"/>
  <c r="BJ71" i="4"/>
  <c r="BK71" i="4"/>
  <c r="BL71" i="4"/>
  <c r="BM71" i="4"/>
  <c r="BN71" i="4"/>
  <c r="BO71" i="4"/>
  <c r="BP71" i="4"/>
  <c r="BQ71" i="4"/>
  <c r="BR71" i="4"/>
  <c r="BS71" i="4"/>
  <c r="BT71" i="4"/>
  <c r="BU71" i="4"/>
  <c r="BV71" i="4"/>
  <c r="BW71" i="4"/>
  <c r="BX71" i="4"/>
  <c r="BY71" i="4"/>
  <c r="BZ71" i="4"/>
  <c r="CA71" i="4"/>
  <c r="CB71" i="4"/>
  <c r="CC71" i="4"/>
  <c r="CD71" i="4"/>
  <c r="CE71" i="4"/>
  <c r="CF71" i="4"/>
  <c r="CG71" i="4"/>
  <c r="CH71" i="4"/>
  <c r="CI71" i="4"/>
  <c r="CJ71" i="4"/>
  <c r="CK71" i="4"/>
  <c r="CL71" i="4"/>
  <c r="CM71" i="4"/>
  <c r="CN71" i="4"/>
  <c r="CO71" i="4"/>
  <c r="CP71" i="4"/>
  <c r="CQ71" i="4"/>
  <c r="CR71" i="4"/>
  <c r="CS71" i="4"/>
  <c r="CT71" i="4"/>
  <c r="CU71" i="4"/>
  <c r="CV71" i="4"/>
  <c r="CW71" i="4"/>
  <c r="CX71" i="4"/>
  <c r="CY71" i="4"/>
  <c r="CZ71" i="4"/>
  <c r="DA71" i="4"/>
  <c r="DB71" i="4"/>
  <c r="DC71" i="4"/>
  <c r="DD71" i="4"/>
  <c r="DE71" i="4"/>
  <c r="DF71" i="4"/>
  <c r="DG71" i="4"/>
  <c r="DH71" i="4"/>
  <c r="DI71" i="4"/>
  <c r="DJ71" i="4"/>
  <c r="DK71" i="4"/>
  <c r="DL71" i="4"/>
  <c r="DM71" i="4"/>
  <c r="DN71" i="4"/>
  <c r="DO71" i="4"/>
  <c r="DP71" i="4"/>
  <c r="J71" i="4"/>
  <c r="N69" i="4"/>
  <c r="O69" i="4"/>
  <c r="P69" i="4"/>
  <c r="Q69" i="4"/>
  <c r="R69" i="4"/>
  <c r="S69" i="4"/>
  <c r="T69" i="4"/>
  <c r="U69" i="4"/>
  <c r="V69" i="4"/>
  <c r="W69" i="4"/>
  <c r="X69" i="4"/>
  <c r="Y69" i="4"/>
  <c r="Z69" i="4"/>
  <c r="AA69" i="4"/>
  <c r="AB69" i="4"/>
  <c r="AC69" i="4"/>
  <c r="AD69" i="4"/>
  <c r="AE69" i="4"/>
  <c r="AF69" i="4"/>
  <c r="AG69" i="4"/>
  <c r="AH69" i="4"/>
  <c r="AI69" i="4"/>
  <c r="AJ69" i="4"/>
  <c r="AK69" i="4"/>
  <c r="AL69" i="4"/>
  <c r="AM69" i="4"/>
  <c r="AN69" i="4"/>
  <c r="AO69" i="4"/>
  <c r="AP69" i="4"/>
  <c r="AQ69" i="4"/>
  <c r="AR69" i="4"/>
  <c r="AS69" i="4"/>
  <c r="AT69" i="4"/>
  <c r="AU69" i="4"/>
  <c r="AV69" i="4"/>
  <c r="AW69" i="4"/>
  <c r="AX69" i="4"/>
  <c r="AY69" i="4"/>
  <c r="AZ69" i="4"/>
  <c r="BA69" i="4"/>
  <c r="BB69" i="4"/>
  <c r="BC69" i="4"/>
  <c r="BD69" i="4"/>
  <c r="BE69" i="4"/>
  <c r="BF69" i="4"/>
  <c r="BG69" i="4"/>
  <c r="BH69" i="4"/>
  <c r="BI69" i="4"/>
  <c r="BJ69" i="4"/>
  <c r="BK69" i="4"/>
  <c r="BL69" i="4"/>
  <c r="BM69" i="4"/>
  <c r="BN69" i="4"/>
  <c r="BO69" i="4"/>
  <c r="BP69" i="4"/>
  <c r="BQ69" i="4"/>
  <c r="BR69" i="4"/>
  <c r="BS69" i="4"/>
  <c r="BT69" i="4"/>
  <c r="BU69" i="4"/>
  <c r="BV69" i="4"/>
  <c r="BW69" i="4"/>
  <c r="BX69" i="4"/>
  <c r="BY69" i="4"/>
  <c r="BZ69" i="4"/>
  <c r="CA69" i="4"/>
  <c r="CB69" i="4"/>
  <c r="CC69" i="4"/>
  <c r="CD69" i="4"/>
  <c r="CE69" i="4"/>
  <c r="CF69" i="4"/>
  <c r="CG69" i="4"/>
  <c r="CH69" i="4"/>
  <c r="CI69" i="4"/>
  <c r="CJ69" i="4"/>
  <c r="CK69" i="4"/>
  <c r="CL69" i="4"/>
  <c r="CM69" i="4"/>
  <c r="CN69" i="4"/>
  <c r="CO69" i="4"/>
  <c r="CP69" i="4"/>
  <c r="CQ69" i="4"/>
  <c r="CR69" i="4"/>
  <c r="CS69" i="4"/>
  <c r="CT69" i="4"/>
  <c r="CU69" i="4"/>
  <c r="CV69" i="4"/>
  <c r="CW69" i="4"/>
  <c r="CX69" i="4"/>
  <c r="CY69" i="4"/>
  <c r="CZ69" i="4"/>
  <c r="DA69" i="4"/>
  <c r="DB69" i="4"/>
  <c r="DC69" i="4"/>
  <c r="DD69" i="4"/>
  <c r="DE69" i="4"/>
  <c r="DF69" i="4"/>
  <c r="DG69" i="4"/>
  <c r="DH69" i="4"/>
  <c r="DI69" i="4"/>
  <c r="DJ69" i="4"/>
  <c r="DK69" i="4"/>
  <c r="DL69" i="4"/>
  <c r="DM69" i="4"/>
  <c r="DN69" i="4"/>
  <c r="DO69" i="4"/>
  <c r="DP69" i="4"/>
  <c r="E69" i="4"/>
  <c r="M69" i="4"/>
  <c r="L69" i="4"/>
  <c r="K69" i="4"/>
  <c r="J69" i="4"/>
  <c r="I69" i="4"/>
  <c r="H69" i="4"/>
  <c r="G69" i="4"/>
  <c r="F69" i="4"/>
  <c r="J45" i="4"/>
  <c r="J16" i="4"/>
  <c r="F16" i="4"/>
  <c r="G16" i="4"/>
  <c r="H16" i="4"/>
  <c r="I16" i="4"/>
  <c r="E16" i="4"/>
  <c r="E5" i="45"/>
  <c r="D43" i="45"/>
  <c r="D35" i="45"/>
  <c r="E35" i="45" s="1"/>
  <c r="E34" i="45"/>
  <c r="D34" i="45"/>
  <c r="E33" i="45"/>
  <c r="D33" i="45"/>
  <c r="C43" i="45"/>
  <c r="C35" i="45"/>
  <c r="C36" i="45" s="1"/>
  <c r="C37" i="45" s="1"/>
  <c r="C38" i="45" s="1"/>
  <c r="C39" i="45" s="1"/>
  <c r="C40" i="45" s="1"/>
  <c r="C41" i="45" s="1"/>
  <c r="C42" i="45" s="1"/>
  <c r="C34" i="45"/>
  <c r="C33" i="45"/>
  <c r="C28" i="45"/>
  <c r="C26" i="45"/>
  <c r="C27" i="45"/>
  <c r="H3" i="45"/>
  <c r="C15" i="45"/>
  <c r="E4" i="45"/>
  <c r="C5" i="45"/>
  <c r="C16" i="45" s="1"/>
  <c r="C4" i="45"/>
  <c r="C6" i="45" s="1"/>
  <c r="C8" i="45" s="1"/>
  <c r="E65" i="2"/>
  <c r="F94" i="4"/>
  <c r="F101" i="4"/>
  <c r="F99" i="4"/>
  <c r="F77" i="4"/>
  <c r="F98" i="4"/>
  <c r="F102" i="4"/>
  <c r="N114" i="4" l="1"/>
  <c r="J114" i="4"/>
  <c r="H114" i="4"/>
  <c r="F114" i="4"/>
  <c r="K114" i="4"/>
  <c r="L114" i="4"/>
  <c r="M114" i="4"/>
  <c r="I114" i="4"/>
  <c r="G114" i="4"/>
  <c r="J36" i="24"/>
  <c r="I20" i="26" s="1"/>
  <c r="K36" i="24"/>
  <c r="J20" i="26" s="1"/>
  <c r="G36" i="24"/>
  <c r="F20" i="26" s="1"/>
  <c r="M36" i="24"/>
  <c r="L20" i="26" s="1"/>
  <c r="H36" i="24"/>
  <c r="G20" i="26" s="1"/>
  <c r="L36" i="24"/>
  <c r="K20" i="26" s="1"/>
  <c r="I36" i="24"/>
  <c r="H20" i="26" s="1"/>
  <c r="D36" i="45"/>
  <c r="E36" i="45"/>
  <c r="C9" i="45"/>
  <c r="C10" i="45" s="1"/>
  <c r="C17" i="45"/>
  <c r="C19" i="45" s="1"/>
  <c r="E6" i="45"/>
  <c r="E8" i="45" s="1"/>
  <c r="E9" i="45" s="1"/>
  <c r="E10" i="45"/>
  <c r="E94" i="2"/>
  <c r="F94" i="2" s="1"/>
  <c r="E93" i="2"/>
  <c r="F93" i="2" s="1"/>
  <c r="E92" i="2"/>
  <c r="F92" i="2" s="1"/>
  <c r="E90" i="2"/>
  <c r="F90" i="2" s="1"/>
  <c r="J86" i="2"/>
  <c r="J9" i="24" s="1"/>
  <c r="I86" i="2"/>
  <c r="I9" i="24" s="1"/>
  <c r="H86" i="2"/>
  <c r="H9" i="24" s="1"/>
  <c r="G86" i="2"/>
  <c r="G9" i="24" s="1"/>
  <c r="F86" i="2"/>
  <c r="F9" i="24" s="1"/>
  <c r="E86" i="2"/>
  <c r="E9" i="24" s="1"/>
  <c r="D37" i="45" l="1"/>
  <c r="E37" i="45" s="1"/>
  <c r="C20" i="45"/>
  <c r="C21" i="45"/>
  <c r="D109" i="2"/>
  <c r="D38" i="45" l="1"/>
  <c r="E38" i="45"/>
  <c r="C22" i="45"/>
  <c r="G11" i="36"/>
  <c r="H11" i="36"/>
  <c r="F11" i="36"/>
  <c r="G10" i="36"/>
  <c r="H10" i="36"/>
  <c r="F10" i="36"/>
  <c r="E43" i="2"/>
  <c r="F39" i="44" s="1"/>
  <c r="G39" i="44" s="1"/>
  <c r="G9" i="36"/>
  <c r="H9" i="36"/>
  <c r="F9" i="36"/>
  <c r="D108" i="2"/>
  <c r="G8" i="36"/>
  <c r="H8" i="36"/>
  <c r="F8" i="36"/>
  <c r="F96" i="2"/>
  <c r="F95" i="2"/>
  <c r="G7" i="36"/>
  <c r="H7" i="36"/>
  <c r="F7" i="36"/>
  <c r="G6" i="36"/>
  <c r="H6" i="36"/>
  <c r="F6" i="36"/>
  <c r="E12" i="1"/>
  <c r="D39" i="45" l="1"/>
  <c r="E39" i="45"/>
  <c r="C8" i="25"/>
  <c r="C9" i="25"/>
  <c r="C10" i="25"/>
  <c r="C11" i="25"/>
  <c r="C7" i="25"/>
  <c r="E20" i="1"/>
  <c r="F20" i="1"/>
  <c r="G20" i="1"/>
  <c r="H20" i="1"/>
  <c r="D20" i="1"/>
  <c r="D183" i="22"/>
  <c r="D176" i="22"/>
  <c r="D169" i="22"/>
  <c r="D162" i="22"/>
  <c r="D155" i="22"/>
  <c r="C7" i="22"/>
  <c r="C31" i="22" s="1"/>
  <c r="D7" i="22"/>
  <c r="C129" i="22" s="1"/>
  <c r="C8" i="22"/>
  <c r="C40" i="22" s="1"/>
  <c r="D8" i="22"/>
  <c r="C136" i="22" s="1"/>
  <c r="C9" i="22"/>
  <c r="C49" i="22" s="1"/>
  <c r="D9" i="22"/>
  <c r="C143" i="22" s="1"/>
  <c r="C10" i="22"/>
  <c r="C59" i="22" s="1"/>
  <c r="D10" i="22"/>
  <c r="C150" i="22" s="1"/>
  <c r="C11" i="22"/>
  <c r="C68" i="22" s="1"/>
  <c r="D11" i="22"/>
  <c r="C157" i="22" s="1"/>
  <c r="C12" i="22"/>
  <c r="C77" i="22" s="1"/>
  <c r="D12" i="22"/>
  <c r="C164" i="22" s="1"/>
  <c r="C13" i="22"/>
  <c r="C87" i="22" s="1"/>
  <c r="D13" i="22"/>
  <c r="C171" i="22" s="1"/>
  <c r="C14" i="22"/>
  <c r="C97" i="22" s="1"/>
  <c r="D14" i="22"/>
  <c r="C178" i="22" s="1"/>
  <c r="C15" i="22"/>
  <c r="D15" i="22"/>
  <c r="D6" i="22"/>
  <c r="C122" i="22" s="1"/>
  <c r="C6" i="22"/>
  <c r="C22" i="22" s="1"/>
  <c r="Q116" i="4"/>
  <c r="C44" i="4"/>
  <c r="D44" i="4"/>
  <c r="M44" i="4" s="1"/>
  <c r="N44" i="4" s="1"/>
  <c r="O44" i="4" s="1"/>
  <c r="E44" i="4"/>
  <c r="P44" i="4" s="1"/>
  <c r="Q44" i="4" s="1"/>
  <c r="R44" i="4" s="1"/>
  <c r="F44" i="4"/>
  <c r="C45" i="4"/>
  <c r="D45" i="4"/>
  <c r="M45" i="4" s="1"/>
  <c r="N45" i="4" s="1"/>
  <c r="O45" i="4" s="1"/>
  <c r="E45" i="4"/>
  <c r="F45" i="4"/>
  <c r="S45" i="4" s="1"/>
  <c r="T45" i="4" s="1"/>
  <c r="U45" i="4" s="1"/>
  <c r="C46" i="4"/>
  <c r="D46" i="4"/>
  <c r="M46" i="4" s="1"/>
  <c r="N46" i="4" s="1"/>
  <c r="O46" i="4" s="1"/>
  <c r="E46" i="4"/>
  <c r="P46" i="4" s="1"/>
  <c r="Q46" i="4" s="1"/>
  <c r="R46" i="4" s="1"/>
  <c r="F46" i="4"/>
  <c r="S46" i="4" s="1"/>
  <c r="T46" i="4" s="1"/>
  <c r="U46" i="4" s="1"/>
  <c r="C47" i="4"/>
  <c r="D47" i="4"/>
  <c r="M47" i="4" s="1"/>
  <c r="N47" i="4" s="1"/>
  <c r="O47" i="4" s="1"/>
  <c r="E47" i="4"/>
  <c r="P47" i="4" s="1"/>
  <c r="Q47" i="4" s="1"/>
  <c r="R47" i="4" s="1"/>
  <c r="F47" i="4"/>
  <c r="S47" i="4" s="1"/>
  <c r="T47" i="4" s="1"/>
  <c r="U47" i="4" s="1"/>
  <c r="C48" i="4"/>
  <c r="D48" i="4"/>
  <c r="M48" i="4" s="1"/>
  <c r="N48" i="4" s="1"/>
  <c r="O48" i="4" s="1"/>
  <c r="E48" i="4"/>
  <c r="F48" i="4"/>
  <c r="S48" i="4" s="1"/>
  <c r="T48" i="4" s="1"/>
  <c r="U48" i="4" s="1"/>
  <c r="C49" i="4"/>
  <c r="D49" i="4"/>
  <c r="M49" i="4" s="1"/>
  <c r="N49" i="4" s="1"/>
  <c r="O49" i="4" s="1"/>
  <c r="E49" i="4"/>
  <c r="F49" i="4"/>
  <c r="S49" i="4" s="1"/>
  <c r="T49" i="4" s="1"/>
  <c r="U49" i="4" s="1"/>
  <c r="C50" i="4"/>
  <c r="D50" i="4"/>
  <c r="M50" i="4" s="1"/>
  <c r="N50" i="4" s="1"/>
  <c r="O50" i="4" s="1"/>
  <c r="E50" i="4"/>
  <c r="P50" i="4" s="1"/>
  <c r="Q50" i="4" s="1"/>
  <c r="R50" i="4" s="1"/>
  <c r="F50" i="4"/>
  <c r="S50" i="4" s="1"/>
  <c r="T50" i="4" s="1"/>
  <c r="U50" i="4" s="1"/>
  <c r="C51" i="4"/>
  <c r="D51" i="4"/>
  <c r="M51" i="4" s="1"/>
  <c r="N51" i="4" s="1"/>
  <c r="O51" i="4" s="1"/>
  <c r="E51" i="4"/>
  <c r="P51" i="4" s="1"/>
  <c r="Q51" i="4" s="1"/>
  <c r="R51" i="4" s="1"/>
  <c r="F51" i="4"/>
  <c r="S51" i="4" s="1"/>
  <c r="T51" i="4" s="1"/>
  <c r="U51" i="4" s="1"/>
  <c r="C52" i="4"/>
  <c r="D52" i="4"/>
  <c r="M52" i="4" s="1"/>
  <c r="N52" i="4" s="1"/>
  <c r="O52" i="4" s="1"/>
  <c r="E52" i="4"/>
  <c r="F52" i="4"/>
  <c r="S52" i="4" s="1"/>
  <c r="T52" i="4" s="1"/>
  <c r="U52" i="4" s="1"/>
  <c r="C53" i="4"/>
  <c r="D53" i="4"/>
  <c r="M53" i="4" s="1"/>
  <c r="N53" i="4" s="1"/>
  <c r="O53" i="4" s="1"/>
  <c r="E53" i="4"/>
  <c r="F53" i="4"/>
  <c r="S53" i="4" s="1"/>
  <c r="T53" i="4" s="1"/>
  <c r="U53" i="4" s="1"/>
  <c r="C54" i="4"/>
  <c r="D54" i="4"/>
  <c r="M54" i="4" s="1"/>
  <c r="N54" i="4" s="1"/>
  <c r="O54" i="4" s="1"/>
  <c r="E54" i="4"/>
  <c r="P54" i="4" s="1"/>
  <c r="Q54" i="4" s="1"/>
  <c r="R54" i="4" s="1"/>
  <c r="F54" i="4"/>
  <c r="S54" i="4" s="1"/>
  <c r="T54" i="4" s="1"/>
  <c r="U54" i="4" s="1"/>
  <c r="C55" i="4"/>
  <c r="D55" i="4"/>
  <c r="M55" i="4" s="1"/>
  <c r="N55" i="4" s="1"/>
  <c r="O55" i="4" s="1"/>
  <c r="E55" i="4"/>
  <c r="P55" i="4" s="1"/>
  <c r="Q55" i="4" s="1"/>
  <c r="R55" i="4" s="1"/>
  <c r="F55" i="4"/>
  <c r="S55" i="4" s="1"/>
  <c r="T55" i="4" s="1"/>
  <c r="U55" i="4" s="1"/>
  <c r="C56" i="4"/>
  <c r="J56" i="4" s="1"/>
  <c r="K56" i="4" s="1"/>
  <c r="L56" i="4" s="1"/>
  <c r="D56" i="4"/>
  <c r="M56" i="4" s="1"/>
  <c r="N56" i="4" s="1"/>
  <c r="O56" i="4" s="1"/>
  <c r="E56" i="4"/>
  <c r="P56" i="4" s="1"/>
  <c r="Q56" i="4" s="1"/>
  <c r="R56" i="4" s="1"/>
  <c r="F56" i="4"/>
  <c r="S56" i="4" s="1"/>
  <c r="T56" i="4" s="1"/>
  <c r="U56" i="4" s="1"/>
  <c r="D43" i="4"/>
  <c r="E43" i="4"/>
  <c r="P43" i="4" s="1"/>
  <c r="Q43" i="4" s="1"/>
  <c r="R43" i="4" s="1"/>
  <c r="F43" i="4"/>
  <c r="S43" i="4" s="1"/>
  <c r="T43" i="4" s="1"/>
  <c r="U43" i="4" s="1"/>
  <c r="C43" i="4"/>
  <c r="J43" i="4" s="1"/>
  <c r="K43" i="4" s="1"/>
  <c r="L43" i="4" s="1"/>
  <c r="D19" i="4"/>
  <c r="D26" i="4" s="1"/>
  <c r="J55" i="4"/>
  <c r="K55" i="4" s="1"/>
  <c r="L55" i="4" s="1"/>
  <c r="J54" i="4"/>
  <c r="K54" i="4" s="1"/>
  <c r="L54" i="4" s="1"/>
  <c r="J53" i="4"/>
  <c r="K53" i="4" s="1"/>
  <c r="L53" i="4" s="1"/>
  <c r="J52" i="4"/>
  <c r="K52" i="4" s="1"/>
  <c r="L52" i="4" s="1"/>
  <c r="J51" i="4"/>
  <c r="K51" i="4" s="1"/>
  <c r="L51" i="4" s="1"/>
  <c r="J50" i="4"/>
  <c r="K50" i="4" s="1"/>
  <c r="L50" i="4" s="1"/>
  <c r="J49" i="4"/>
  <c r="K49" i="4" s="1"/>
  <c r="L49" i="4" s="1"/>
  <c r="J48" i="4"/>
  <c r="K48" i="4" s="1"/>
  <c r="L48" i="4" s="1"/>
  <c r="J47" i="4"/>
  <c r="K47" i="4" s="1"/>
  <c r="L47" i="4" s="1"/>
  <c r="J46" i="4"/>
  <c r="K46" i="4" s="1"/>
  <c r="L46" i="4" s="1"/>
  <c r="J44" i="4"/>
  <c r="K44" i="4" s="1"/>
  <c r="L44" i="4" s="1"/>
  <c r="M43" i="4"/>
  <c r="N43" i="4" s="1"/>
  <c r="O43" i="4" s="1"/>
  <c r="I43" i="4"/>
  <c r="B44" i="4"/>
  <c r="B45" i="4" s="1"/>
  <c r="B46" i="4" s="1"/>
  <c r="B47" i="4" s="1"/>
  <c r="B48" i="4" s="1"/>
  <c r="B49" i="4" s="1"/>
  <c r="B50" i="4" s="1"/>
  <c r="B51" i="4" s="1"/>
  <c r="B52" i="4" s="1"/>
  <c r="B53" i="4" s="1"/>
  <c r="B54" i="4" s="1"/>
  <c r="B55" i="4" s="1"/>
  <c r="B56" i="4" s="1"/>
  <c r="I56" i="4" s="1"/>
  <c r="I27" i="2"/>
  <c r="D27" i="2" s="1"/>
  <c r="I28" i="2"/>
  <c r="D28" i="2" s="1"/>
  <c r="I18" i="2"/>
  <c r="D18" i="2" s="1"/>
  <c r="I19" i="2"/>
  <c r="D19" i="2" s="1"/>
  <c r="I20" i="2"/>
  <c r="D20" i="2" s="1"/>
  <c r="I21" i="2"/>
  <c r="D21" i="2" s="1"/>
  <c r="I22" i="2"/>
  <c r="D22" i="2" s="1"/>
  <c r="I23" i="2"/>
  <c r="D23" i="2" s="1"/>
  <c r="I24" i="2"/>
  <c r="D24" i="2" s="1"/>
  <c r="I25" i="2"/>
  <c r="D25" i="2" s="1"/>
  <c r="I26" i="2"/>
  <c r="D26" i="2" s="1"/>
  <c r="I17" i="2"/>
  <c r="D17" i="2" s="1"/>
  <c r="E16" i="2"/>
  <c r="F16" i="2" s="1"/>
  <c r="E68" i="3"/>
  <c r="C11" i="3" s="1"/>
  <c r="C12" i="4" s="1"/>
  <c r="E76" i="3"/>
  <c r="C13" i="3" s="1"/>
  <c r="C14" i="4" s="1"/>
  <c r="D37" i="3"/>
  <c r="C7" i="3" s="1"/>
  <c r="C8" i="4" s="1"/>
  <c r="D32" i="3"/>
  <c r="C6" i="3" s="1"/>
  <c r="C7" i="4" s="1"/>
  <c r="D27" i="3"/>
  <c r="C5" i="3" s="1"/>
  <c r="E72" i="3"/>
  <c r="C12" i="3" s="1"/>
  <c r="C13" i="4" s="1"/>
  <c r="E64" i="3"/>
  <c r="C10" i="3" s="1"/>
  <c r="C11" i="4" s="1"/>
  <c r="E60" i="3"/>
  <c r="E55" i="3"/>
  <c r="F14" i="4" l="1"/>
  <c r="G14" i="4"/>
  <c r="E14" i="4"/>
  <c r="H14" i="4"/>
  <c r="I14" i="4"/>
  <c r="H13" i="4"/>
  <c r="I13" i="4"/>
  <c r="E13" i="4"/>
  <c r="F13" i="4"/>
  <c r="G13" i="4"/>
  <c r="D40" i="45"/>
  <c r="E40" i="45" s="1"/>
  <c r="C8" i="3"/>
  <c r="C9" i="4" s="1"/>
  <c r="C9" i="3"/>
  <c r="C10" i="4" s="1"/>
  <c r="F5" i="4"/>
  <c r="F4" i="4" s="1"/>
  <c r="G16" i="2"/>
  <c r="C6" i="4"/>
  <c r="G54" i="4"/>
  <c r="G44" i="4"/>
  <c r="G53" i="4"/>
  <c r="G52" i="4"/>
  <c r="G49" i="4"/>
  <c r="G45" i="4"/>
  <c r="G46" i="4"/>
  <c r="S44" i="4"/>
  <c r="T44" i="4" s="1"/>
  <c r="U44" i="4" s="1"/>
  <c r="G48" i="4"/>
  <c r="G43" i="4"/>
  <c r="G50" i="4"/>
  <c r="G47" i="4"/>
  <c r="G51" i="4"/>
  <c r="G55" i="4"/>
  <c r="P45" i="4"/>
  <c r="Q45" i="4" s="1"/>
  <c r="R45" i="4" s="1"/>
  <c r="P48" i="4"/>
  <c r="Q48" i="4" s="1"/>
  <c r="R48" i="4" s="1"/>
  <c r="P49" i="4"/>
  <c r="Q49" i="4" s="1"/>
  <c r="R49" i="4" s="1"/>
  <c r="P52" i="4"/>
  <c r="Q52" i="4" s="1"/>
  <c r="R52" i="4" s="1"/>
  <c r="P53" i="4"/>
  <c r="Q53" i="4" s="1"/>
  <c r="R53" i="4" s="1"/>
  <c r="G56" i="4"/>
  <c r="I45" i="4"/>
  <c r="I53" i="4"/>
  <c r="I49" i="4"/>
  <c r="I44" i="4"/>
  <c r="I48" i="4"/>
  <c r="I52" i="4"/>
  <c r="I47" i="4"/>
  <c r="I51" i="4"/>
  <c r="I55" i="4"/>
  <c r="I46" i="4"/>
  <c r="V47" i="4"/>
  <c r="I50" i="4"/>
  <c r="V51" i="4"/>
  <c r="I54" i="4"/>
  <c r="V55" i="4"/>
  <c r="V43" i="4"/>
  <c r="V46" i="4"/>
  <c r="V50" i="4"/>
  <c r="V54" i="4"/>
  <c r="V44" i="4"/>
  <c r="V56" i="4"/>
  <c r="I37" i="4"/>
  <c r="F24" i="4"/>
  <c r="F23" i="4" s="1"/>
  <c r="D148" i="2"/>
  <c r="D149" i="2"/>
  <c r="I6" i="4" l="1"/>
  <c r="F6" i="4"/>
  <c r="G6" i="4"/>
  <c r="E6" i="4"/>
  <c r="H6" i="4"/>
  <c r="G10" i="4"/>
  <c r="H10" i="4"/>
  <c r="I10" i="4"/>
  <c r="E10" i="4"/>
  <c r="F10" i="4"/>
  <c r="J14" i="4"/>
  <c r="K14" i="4" s="1"/>
  <c r="E85" i="4"/>
  <c r="H9" i="4"/>
  <c r="G9" i="4"/>
  <c r="F9" i="4"/>
  <c r="E9" i="4"/>
  <c r="I9" i="4"/>
  <c r="J13" i="4"/>
  <c r="E84" i="4"/>
  <c r="C14" i="3"/>
  <c r="C15" i="4" s="1"/>
  <c r="D41" i="45"/>
  <c r="E41" i="45"/>
  <c r="J6" i="3"/>
  <c r="J9" i="3"/>
  <c r="J10" i="3"/>
  <c r="J13" i="3"/>
  <c r="J7" i="3"/>
  <c r="J11" i="3"/>
  <c r="J12" i="3"/>
  <c r="J8" i="3"/>
  <c r="J5" i="3"/>
  <c r="H16" i="2"/>
  <c r="G5" i="4"/>
  <c r="V48" i="4"/>
  <c r="V53" i="4"/>
  <c r="G57" i="4"/>
  <c r="V52" i="4"/>
  <c r="V49" i="4"/>
  <c r="C37" i="4"/>
  <c r="K13" i="4"/>
  <c r="K7" i="4"/>
  <c r="K8" i="4"/>
  <c r="K12" i="4"/>
  <c r="K11" i="4"/>
  <c r="E80" i="4" l="1"/>
  <c r="J9" i="4"/>
  <c r="K9" i="4" s="1"/>
  <c r="J6" i="4"/>
  <c r="K6" i="4" s="1"/>
  <c r="E77" i="4"/>
  <c r="E81" i="4"/>
  <c r="J10" i="4"/>
  <c r="K10" i="4" s="1"/>
  <c r="F15" i="4"/>
  <c r="G15" i="4"/>
  <c r="E15" i="4"/>
  <c r="H15" i="4"/>
  <c r="I15" i="4"/>
  <c r="D42" i="45"/>
  <c r="E42" i="45"/>
  <c r="C15" i="3"/>
  <c r="G4" i="4"/>
  <c r="G24" i="4"/>
  <c r="G23" i="4" s="1"/>
  <c r="I16" i="2"/>
  <c r="I5" i="4" s="1"/>
  <c r="H5" i="4"/>
  <c r="J15" i="4" l="1"/>
  <c r="K15" i="4" s="1"/>
  <c r="E86" i="4"/>
  <c r="H4" i="4"/>
  <c r="H24" i="4"/>
  <c r="H23" i="4" s="1"/>
  <c r="I4" i="4"/>
  <c r="I24" i="4"/>
  <c r="I23" i="4" s="1"/>
  <c r="D85" i="2"/>
  <c r="I77" i="2" l="1"/>
  <c r="H77" i="2"/>
  <c r="I76" i="2"/>
  <c r="H76" i="2"/>
  <c r="I75" i="2"/>
  <c r="H75" i="2"/>
  <c r="H67" i="2"/>
  <c r="H66" i="2"/>
  <c r="H65" i="2"/>
  <c r="C65" i="2"/>
  <c r="C66" i="2" s="1"/>
  <c r="C67" i="2" s="1"/>
  <c r="C68" i="2" s="1"/>
  <c r="C69" i="2" s="1"/>
  <c r="C70" i="2" s="1"/>
  <c r="C71" i="2" s="1"/>
  <c r="C72" i="2" s="1"/>
  <c r="C73" i="2" s="1"/>
  <c r="C74" i="2" s="1"/>
  <c r="C75" i="2" s="1"/>
  <c r="C76" i="2" s="1"/>
  <c r="C77" i="2" s="1"/>
  <c r="H64" i="2"/>
  <c r="D55" i="2"/>
  <c r="F55" i="2" s="1"/>
  <c r="G55" i="2" l="1"/>
  <c r="E55" i="2"/>
  <c r="H69" i="2"/>
  <c r="H71" i="2"/>
  <c r="H73" i="2"/>
  <c r="I69" i="2"/>
  <c r="I71" i="2"/>
  <c r="I73" i="2"/>
  <c r="I70" i="2" l="1"/>
  <c r="H68" i="2"/>
  <c r="I68" i="2"/>
  <c r="I72" i="2"/>
  <c r="H70" i="2"/>
  <c r="D5" i="44" l="1" a="1"/>
  <c r="G5" i="44" s="1"/>
  <c r="H72" i="2"/>
  <c r="I74" i="2"/>
  <c r="K5" i="44" l="1"/>
  <c r="L5" i="44"/>
  <c r="E5" i="44"/>
  <c r="F5" i="44"/>
  <c r="H5" i="44"/>
  <c r="I5" i="44"/>
  <c r="D5" i="44"/>
  <c r="J5" i="44"/>
  <c r="M5" i="44"/>
  <c r="H74" i="2"/>
  <c r="H78" i="2" s="1"/>
  <c r="H79" i="2" s="1"/>
  <c r="E48" i="2" l="1"/>
  <c r="D125" i="2" l="1"/>
  <c r="C18" i="25" l="1"/>
  <c r="C23" i="25" l="1"/>
  <c r="L14" i="1" l="1"/>
  <c r="L11" i="1"/>
  <c r="L8" i="1"/>
  <c r="L7" i="1"/>
  <c r="C22" i="25" l="1"/>
  <c r="C14" i="25"/>
  <c r="E85" i="2"/>
  <c r="D18" i="1" s="1"/>
  <c r="F85" i="2" l="1"/>
  <c r="E18" i="1" s="1"/>
  <c r="G85" i="2" l="1"/>
  <c r="F18" i="1" s="1"/>
  <c r="H85" i="2" l="1"/>
  <c r="G18" i="1" s="1"/>
  <c r="I85" i="2" l="1"/>
  <c r="H18" i="1" s="1"/>
  <c r="J85" i="2" l="1"/>
  <c r="I18" i="1" s="1"/>
  <c r="K85" i="2" l="1"/>
  <c r="J18" i="1" s="1"/>
  <c r="L85" i="2" l="1"/>
  <c r="M85" i="2" l="1"/>
  <c r="K18" i="1"/>
  <c r="N85" i="2" l="1"/>
  <c r="M18" i="1" s="1"/>
  <c r="L18" i="1"/>
  <c r="I20" i="1" l="1"/>
  <c r="C70" i="4"/>
  <c r="K86" i="2" l="1"/>
  <c r="K9" i="24" l="1"/>
  <c r="J20" i="1" s="1"/>
  <c r="L86" i="2"/>
  <c r="L9" i="24" s="1"/>
  <c r="E8" i="2"/>
  <c r="E13" i="2"/>
  <c r="E12" i="2"/>
  <c r="E75" i="4" s="1"/>
  <c r="M86" i="2" l="1"/>
  <c r="M9" i="24" s="1"/>
  <c r="K20" i="1"/>
  <c r="D53" i="2"/>
  <c r="D56" i="2"/>
  <c r="E9" i="2"/>
  <c r="L9" i="1"/>
  <c r="E5" i="4"/>
  <c r="E93" i="4"/>
  <c r="N86" i="2" l="1"/>
  <c r="N9" i="24" s="1"/>
  <c r="E106" i="4"/>
  <c r="D5" i="4"/>
  <c r="E24" i="4"/>
  <c r="E14" i="2"/>
  <c r="D54" i="2"/>
  <c r="E46" i="2"/>
  <c r="E47" i="2" s="1"/>
  <c r="E56" i="2"/>
  <c r="F56" i="2"/>
  <c r="G56" i="2"/>
  <c r="G53" i="2"/>
  <c r="E53" i="2"/>
  <c r="F53" i="2"/>
  <c r="E10" i="2"/>
  <c r="E82" i="2" s="1"/>
  <c r="E101" i="2" s="1"/>
  <c r="L10" i="1"/>
  <c r="E4" i="4"/>
  <c r="F106" i="4"/>
  <c r="E19" i="22" l="1"/>
  <c r="E119" i="22" s="1"/>
  <c r="E4" i="24"/>
  <c r="E11" i="2"/>
  <c r="M20" i="1"/>
  <c r="L20" i="1"/>
  <c r="G106" i="4"/>
  <c r="D24" i="4"/>
  <c r="E23" i="4"/>
  <c r="D4" i="26"/>
  <c r="E83" i="2"/>
  <c r="E20" i="22" s="1"/>
  <c r="D57" i="2"/>
  <c r="G54" i="2"/>
  <c r="E54" i="2"/>
  <c r="F54" i="2"/>
  <c r="E4" i="25"/>
  <c r="E25" i="25" s="1"/>
  <c r="F82" i="2"/>
  <c r="L12" i="1"/>
  <c r="D5" i="26"/>
  <c r="E62" i="4"/>
  <c r="F62" i="4" s="1"/>
  <c r="G62" i="4" s="1"/>
  <c r="H62" i="4" s="1"/>
  <c r="I62" i="4" s="1"/>
  <c r="J62" i="4" s="1"/>
  <c r="K62" i="4" s="1"/>
  <c r="L62" i="4" s="1"/>
  <c r="M62" i="4" s="1"/>
  <c r="N62" i="4" s="1"/>
  <c r="O62" i="4" s="1"/>
  <c r="P62" i="4" s="1"/>
  <c r="Q62" i="4" s="1"/>
  <c r="R62" i="4" s="1"/>
  <c r="S62" i="4" s="1"/>
  <c r="T62" i="4" s="1"/>
  <c r="U62" i="4" s="1"/>
  <c r="V62" i="4" s="1"/>
  <c r="W62" i="4" s="1"/>
  <c r="X62" i="4" s="1"/>
  <c r="Y62" i="4" s="1"/>
  <c r="Z62" i="4" s="1"/>
  <c r="AA62" i="4" s="1"/>
  <c r="AB62" i="4" s="1"/>
  <c r="AC62" i="4" s="1"/>
  <c r="AD62" i="4" s="1"/>
  <c r="AE62" i="4" s="1"/>
  <c r="AF62" i="4" s="1"/>
  <c r="AG62" i="4" s="1"/>
  <c r="AH62" i="4" s="1"/>
  <c r="AI62" i="4" s="1"/>
  <c r="AJ62" i="4" s="1"/>
  <c r="E5" i="24" l="1"/>
  <c r="E11" i="24" s="1"/>
  <c r="E5" i="25"/>
  <c r="D17" i="1"/>
  <c r="D58" i="2"/>
  <c r="F58" i="2" s="1"/>
  <c r="E49" i="2"/>
  <c r="L15" i="1" s="1"/>
  <c r="D19" i="1"/>
  <c r="D48" i="44"/>
  <c r="D4" i="33"/>
  <c r="D50" i="33" s="1"/>
  <c r="D57" i="33" s="1"/>
  <c r="D48" i="26"/>
  <c r="E120" i="22"/>
  <c r="H106" i="4"/>
  <c r="AJ61" i="4"/>
  <c r="AK62" i="4"/>
  <c r="L13" i="1"/>
  <c r="F4" i="24"/>
  <c r="F101" i="2"/>
  <c r="D4" i="8"/>
  <c r="E4" i="26"/>
  <c r="F83" i="2"/>
  <c r="F84" i="2" s="1"/>
  <c r="F19" i="22"/>
  <c r="F119" i="22" s="1"/>
  <c r="G82" i="2"/>
  <c r="G101" i="2" s="1"/>
  <c r="F4" i="25"/>
  <c r="F25" i="25" s="1"/>
  <c r="C4" i="26"/>
  <c r="E84" i="2"/>
  <c r="G58" i="2"/>
  <c r="E58" i="2"/>
  <c r="F57" i="2"/>
  <c r="G57" i="2"/>
  <c r="E57" i="2"/>
  <c r="E61" i="4"/>
  <c r="E31" i="24" l="1"/>
  <c r="D15" i="26" s="1"/>
  <c r="D52" i="44" s="1"/>
  <c r="E22" i="24"/>
  <c r="E33" i="24"/>
  <c r="D17" i="26" s="1"/>
  <c r="D54" i="44" s="1"/>
  <c r="E35" i="24"/>
  <c r="D19" i="26" s="1"/>
  <c r="D56" i="44" s="1"/>
  <c r="E17" i="24"/>
  <c r="F16" i="24" s="1"/>
  <c r="E34" i="24"/>
  <c r="D18" i="26" s="1"/>
  <c r="D55" i="44" s="1"/>
  <c r="E14" i="24"/>
  <c r="E32" i="24"/>
  <c r="D16" i="26" s="1"/>
  <c r="D53" i="44" s="1"/>
  <c r="F20" i="22"/>
  <c r="E17" i="1"/>
  <c r="F5" i="25"/>
  <c r="F5" i="24"/>
  <c r="F11" i="24" s="1"/>
  <c r="E5" i="26"/>
  <c r="E4" i="33"/>
  <c r="E50" i="33" s="1"/>
  <c r="E57" i="33" s="1"/>
  <c r="E48" i="26"/>
  <c r="E4" i="8"/>
  <c r="E4" i="9" s="1"/>
  <c r="E4" i="44" s="1"/>
  <c r="E20" i="44" s="1"/>
  <c r="E47" i="44" s="1"/>
  <c r="F120" i="22"/>
  <c r="I106" i="4"/>
  <c r="AK61" i="4"/>
  <c r="AL62" i="4"/>
  <c r="G83" i="2"/>
  <c r="D4" i="9"/>
  <c r="G19" i="22"/>
  <c r="G119" i="22" s="1"/>
  <c r="H82" i="2"/>
  <c r="H101" i="2" s="1"/>
  <c r="G4" i="24"/>
  <c r="G4" i="25"/>
  <c r="G25" i="25" s="1"/>
  <c r="F4" i="26"/>
  <c r="G84" i="2"/>
  <c r="F61" i="4"/>
  <c r="F5" i="26"/>
  <c r="G5" i="25"/>
  <c r="G5" i="24"/>
  <c r="G11" i="24" s="1"/>
  <c r="G20" i="22"/>
  <c r="F13" i="24" l="1"/>
  <c r="F34" i="24"/>
  <c r="E18" i="26" s="1"/>
  <c r="E55" i="44" s="1"/>
  <c r="F32" i="24"/>
  <c r="E16" i="26" s="1"/>
  <c r="E53" i="44" s="1"/>
  <c r="F35" i="24"/>
  <c r="E19" i="26" s="1"/>
  <c r="E56" i="44" s="1"/>
  <c r="F17" i="24"/>
  <c r="G16" i="24" s="1"/>
  <c r="F14" i="24"/>
  <c r="F33" i="24"/>
  <c r="E17" i="26" s="1"/>
  <c r="E54" i="44" s="1"/>
  <c r="F31" i="24"/>
  <c r="E15" i="26" s="1"/>
  <c r="E52" i="44" s="1"/>
  <c r="F22" i="24"/>
  <c r="E30" i="24"/>
  <c r="E23" i="24"/>
  <c r="E26" i="24" s="1"/>
  <c r="D7" i="26" s="1"/>
  <c r="G33" i="24"/>
  <c r="F17" i="26" s="1"/>
  <c r="F54" i="44" s="1"/>
  <c r="G22" i="24"/>
  <c r="G31" i="24"/>
  <c r="F15" i="26" s="1"/>
  <c r="F52" i="44" s="1"/>
  <c r="G34" i="24"/>
  <c r="F18" i="26" s="1"/>
  <c r="F55" i="44" s="1"/>
  <c r="G35" i="24"/>
  <c r="F19" i="26" s="1"/>
  <c r="F56" i="44" s="1"/>
  <c r="G17" i="24"/>
  <c r="H16" i="24" s="1"/>
  <c r="G32" i="24"/>
  <c r="F16" i="26" s="1"/>
  <c r="F53" i="44" s="1"/>
  <c r="G14" i="24"/>
  <c r="E19" i="24"/>
  <c r="E25" i="24" s="1"/>
  <c r="H4" i="24"/>
  <c r="E19" i="1"/>
  <c r="I82" i="2"/>
  <c r="I101" i="2" s="1"/>
  <c r="E48" i="44"/>
  <c r="F19" i="1"/>
  <c r="F17" i="1"/>
  <c r="H4" i="25"/>
  <c r="H25" i="25" s="1"/>
  <c r="G4" i="26"/>
  <c r="G4" i="33" s="1"/>
  <c r="G50" i="33" s="1"/>
  <c r="G57" i="33" s="1"/>
  <c r="H83" i="2"/>
  <c r="H5" i="24" s="1"/>
  <c r="H11" i="24" s="1"/>
  <c r="H19" i="22"/>
  <c r="H119" i="22" s="1"/>
  <c r="F48" i="44"/>
  <c r="F4" i="33"/>
  <c r="F50" i="33" s="1"/>
  <c r="F57" i="33" s="1"/>
  <c r="F48" i="26"/>
  <c r="C4" i="9"/>
  <c r="D4" i="44"/>
  <c r="D20" i="44" s="1"/>
  <c r="D47" i="44" s="1"/>
  <c r="G120" i="22"/>
  <c r="J106" i="4"/>
  <c r="AL61" i="4"/>
  <c r="AM62" i="4"/>
  <c r="F4" i="8"/>
  <c r="G5" i="26"/>
  <c r="H4" i="26"/>
  <c r="I4" i="25"/>
  <c r="I25" i="25" s="1"/>
  <c r="I4" i="24"/>
  <c r="I19" i="22"/>
  <c r="I119" i="22" s="1"/>
  <c r="G61" i="4"/>
  <c r="J82" i="2"/>
  <c r="J101" i="2" s="1"/>
  <c r="I83" i="2"/>
  <c r="E38" i="24" l="1"/>
  <c r="E39" i="24" s="1"/>
  <c r="E42" i="24" s="1"/>
  <c r="D14" i="26"/>
  <c r="D51" i="44" s="1"/>
  <c r="E28" i="24"/>
  <c r="E53" i="24" s="1"/>
  <c r="D27" i="26" s="1"/>
  <c r="D63" i="44" s="1"/>
  <c r="D6" i="26"/>
  <c r="D10" i="26" s="1"/>
  <c r="G30" i="24"/>
  <c r="G23" i="24"/>
  <c r="G26" i="24" s="1"/>
  <c r="F7" i="26" s="1"/>
  <c r="G13" i="24"/>
  <c r="G19" i="24" s="1"/>
  <c r="G25" i="24" s="1"/>
  <c r="H32" i="24"/>
  <c r="G16" i="26" s="1"/>
  <c r="G53" i="44" s="1"/>
  <c r="H33" i="24"/>
  <c r="G17" i="26" s="1"/>
  <c r="G54" i="44" s="1"/>
  <c r="H22" i="24"/>
  <c r="H34" i="24"/>
  <c r="G18" i="26" s="1"/>
  <c r="G55" i="44" s="1"/>
  <c r="H35" i="24"/>
  <c r="G19" i="26" s="1"/>
  <c r="G56" i="44" s="1"/>
  <c r="H17" i="24"/>
  <c r="I16" i="24" s="1"/>
  <c r="H31" i="24"/>
  <c r="G15" i="26" s="1"/>
  <c r="G52" i="44" s="1"/>
  <c r="H14" i="24"/>
  <c r="H13" i="24"/>
  <c r="F19" i="24"/>
  <c r="F25" i="24" s="1"/>
  <c r="E6" i="26" s="1"/>
  <c r="F23" i="24"/>
  <c r="F26" i="24" s="1"/>
  <c r="E7" i="26" s="1"/>
  <c r="F30" i="24"/>
  <c r="H20" i="22"/>
  <c r="H84" i="2"/>
  <c r="H5" i="25"/>
  <c r="G19" i="1"/>
  <c r="H17" i="1"/>
  <c r="G4" i="8"/>
  <c r="G4" i="9" s="1"/>
  <c r="G4" i="44" s="1"/>
  <c r="G20" i="44" s="1"/>
  <c r="G47" i="44" s="1"/>
  <c r="G48" i="26"/>
  <c r="G17" i="1"/>
  <c r="G48" i="44"/>
  <c r="H4" i="33"/>
  <c r="H50" i="33" s="1"/>
  <c r="H57" i="33" s="1"/>
  <c r="H48" i="26"/>
  <c r="F4" i="9"/>
  <c r="F4" i="44" s="1"/>
  <c r="F20" i="44" s="1"/>
  <c r="F47" i="44" s="1"/>
  <c r="H120" i="22"/>
  <c r="K106" i="4"/>
  <c r="AM61" i="4"/>
  <c r="AN62" i="4"/>
  <c r="I84" i="2"/>
  <c r="H4" i="8"/>
  <c r="H5" i="26"/>
  <c r="I5" i="25"/>
  <c r="I5" i="24"/>
  <c r="I11" i="24" s="1"/>
  <c r="I20" i="22"/>
  <c r="H61" i="4"/>
  <c r="I4" i="26"/>
  <c r="J4" i="25"/>
  <c r="J25" i="25" s="1"/>
  <c r="J4" i="24"/>
  <c r="J19" i="22"/>
  <c r="J119" i="22" s="1"/>
  <c r="K82" i="2"/>
  <c r="K101" i="2" s="1"/>
  <c r="J83" i="2"/>
  <c r="D49" i="44" l="1"/>
  <c r="D5" i="33"/>
  <c r="E44" i="24"/>
  <c r="F41" i="24"/>
  <c r="E24" i="26" s="1"/>
  <c r="E50" i="24"/>
  <c r="E9" i="25" s="1"/>
  <c r="D26" i="9" s="1"/>
  <c r="E10" i="26"/>
  <c r="E5" i="33" s="1"/>
  <c r="H19" i="24"/>
  <c r="H25" i="24" s="1"/>
  <c r="G6" i="26" s="1"/>
  <c r="G38" i="24"/>
  <c r="G39" i="24" s="1"/>
  <c r="F14" i="26"/>
  <c r="F51" i="44" s="1"/>
  <c r="E29" i="25"/>
  <c r="E7" i="25"/>
  <c r="D23" i="26"/>
  <c r="F38" i="24"/>
  <c r="F39" i="24" s="1"/>
  <c r="F50" i="24" s="1"/>
  <c r="E29" i="26" s="1"/>
  <c r="E14" i="26"/>
  <c r="E51" i="44" s="1"/>
  <c r="E10" i="25"/>
  <c r="D27" i="9" s="1"/>
  <c r="E11" i="25"/>
  <c r="D28" i="9" s="1"/>
  <c r="G28" i="24"/>
  <c r="G53" i="24" s="1"/>
  <c r="F27" i="26" s="1"/>
  <c r="F63" i="44" s="1"/>
  <c r="F6" i="26"/>
  <c r="F10" i="26" s="1"/>
  <c r="E8" i="25"/>
  <c r="D25" i="26"/>
  <c r="I13" i="24"/>
  <c r="F28" i="24"/>
  <c r="F53" i="24" s="1"/>
  <c r="E27" i="26" s="1"/>
  <c r="E63" i="44" s="1"/>
  <c r="I34" i="24"/>
  <c r="H18" i="26" s="1"/>
  <c r="H55" i="44" s="1"/>
  <c r="I33" i="24"/>
  <c r="H17" i="26" s="1"/>
  <c r="H54" i="44" s="1"/>
  <c r="I32" i="24"/>
  <c r="H16" i="26" s="1"/>
  <c r="H53" i="44" s="1"/>
  <c r="I22" i="24"/>
  <c r="I31" i="24"/>
  <c r="H15" i="26" s="1"/>
  <c r="H52" i="44" s="1"/>
  <c r="I35" i="24"/>
  <c r="H19" i="26" s="1"/>
  <c r="H56" i="44" s="1"/>
  <c r="I17" i="24"/>
  <c r="J16" i="24" s="1"/>
  <c r="I14" i="24"/>
  <c r="H23" i="24"/>
  <c r="H26" i="24" s="1"/>
  <c r="H30" i="24"/>
  <c r="H19" i="1"/>
  <c r="I17" i="1"/>
  <c r="I4" i="33"/>
  <c r="I50" i="33" s="1"/>
  <c r="I57" i="33" s="1"/>
  <c r="I48" i="26"/>
  <c r="H48" i="44"/>
  <c r="I120" i="22"/>
  <c r="L106" i="4"/>
  <c r="AN61" i="4"/>
  <c r="AO62" i="4"/>
  <c r="J84" i="2"/>
  <c r="H4" i="9"/>
  <c r="H4" i="44" s="1"/>
  <c r="H20" i="44" s="1"/>
  <c r="H47" i="44" s="1"/>
  <c r="I4" i="8"/>
  <c r="J4" i="26"/>
  <c r="K4" i="25"/>
  <c r="K25" i="25" s="1"/>
  <c r="K4" i="24"/>
  <c r="K19" i="22"/>
  <c r="K119" i="22" s="1"/>
  <c r="I5" i="26"/>
  <c r="J5" i="24"/>
  <c r="J11" i="24" s="1"/>
  <c r="J5" i="25"/>
  <c r="J20" i="22"/>
  <c r="I61" i="4"/>
  <c r="L82" i="2"/>
  <c r="K83" i="2"/>
  <c r="F49" i="44" l="1"/>
  <c r="F5" i="33"/>
  <c r="F11" i="25"/>
  <c r="E28" i="9" s="1"/>
  <c r="E49" i="44"/>
  <c r="E52" i="24"/>
  <c r="E55" i="24" s="1"/>
  <c r="E56" i="24" s="1"/>
  <c r="F49" i="24"/>
  <c r="E28" i="26" s="1"/>
  <c r="D29" i="26"/>
  <c r="D58" i="44" s="1"/>
  <c r="F10" i="25"/>
  <c r="E27" i="9" s="1"/>
  <c r="I19" i="24"/>
  <c r="I25" i="24" s="1"/>
  <c r="H6" i="26" s="1"/>
  <c r="D26" i="26"/>
  <c r="F29" i="25"/>
  <c r="F7" i="25"/>
  <c r="E23" i="26"/>
  <c r="H38" i="24"/>
  <c r="H39" i="24" s="1"/>
  <c r="H50" i="24" s="1"/>
  <c r="H9" i="25" s="1"/>
  <c r="G26" i="9" s="1"/>
  <c r="G14" i="26"/>
  <c r="G51" i="44" s="1"/>
  <c r="E28" i="25"/>
  <c r="F26" i="25" s="1"/>
  <c r="D24" i="9"/>
  <c r="G29" i="25"/>
  <c r="G7" i="25"/>
  <c r="F23" i="26"/>
  <c r="F9" i="25"/>
  <c r="E26" i="9" s="1"/>
  <c r="F42" i="24"/>
  <c r="H28" i="24"/>
  <c r="H53" i="24" s="1"/>
  <c r="G27" i="26" s="1"/>
  <c r="G63" i="44" s="1"/>
  <c r="G7" i="26"/>
  <c r="G10" i="26" s="1"/>
  <c r="G49" i="24"/>
  <c r="F28" i="26" s="1"/>
  <c r="G10" i="25"/>
  <c r="F27" i="9" s="1"/>
  <c r="G11" i="25"/>
  <c r="F28" i="9" s="1"/>
  <c r="G42" i="24"/>
  <c r="G50" i="24"/>
  <c r="D25" i="9"/>
  <c r="E12" i="25"/>
  <c r="J22" i="24"/>
  <c r="J32" i="24"/>
  <c r="I16" i="26" s="1"/>
  <c r="I53" i="44" s="1"/>
  <c r="J33" i="24"/>
  <c r="I17" i="26" s="1"/>
  <c r="I54" i="44" s="1"/>
  <c r="J34" i="24"/>
  <c r="I18" i="26" s="1"/>
  <c r="I55" i="44" s="1"/>
  <c r="J17" i="24"/>
  <c r="K16" i="24" s="1"/>
  <c r="J31" i="24"/>
  <c r="I15" i="26" s="1"/>
  <c r="I52" i="44" s="1"/>
  <c r="J35" i="24"/>
  <c r="I19" i="26" s="1"/>
  <c r="I56" i="44" s="1"/>
  <c r="J14" i="24"/>
  <c r="I23" i="24"/>
  <c r="I26" i="24" s="1"/>
  <c r="I30" i="24"/>
  <c r="J13" i="24"/>
  <c r="I19" i="1"/>
  <c r="J17" i="1"/>
  <c r="J4" i="33"/>
  <c r="J50" i="33" s="1"/>
  <c r="J57" i="33" s="1"/>
  <c r="J48" i="26"/>
  <c r="I48" i="44"/>
  <c r="J120" i="22"/>
  <c r="M106" i="4"/>
  <c r="AO61" i="4"/>
  <c r="AP62" i="4"/>
  <c r="M82" i="2"/>
  <c r="L101" i="2"/>
  <c r="K84" i="2"/>
  <c r="I4" i="9"/>
  <c r="I4" i="44" s="1"/>
  <c r="I20" i="44" s="1"/>
  <c r="I47" i="44" s="1"/>
  <c r="J4" i="8"/>
  <c r="J5" i="26"/>
  <c r="K5" i="25"/>
  <c r="K5" i="24"/>
  <c r="K11" i="24" s="1"/>
  <c r="K20" i="22"/>
  <c r="J61" i="4"/>
  <c r="L83" i="2"/>
  <c r="L84" i="2" s="1"/>
  <c r="K4" i="26"/>
  <c r="L4" i="25"/>
  <c r="L25" i="25" s="1"/>
  <c r="L4" i="24"/>
  <c r="L19" i="22"/>
  <c r="L119" i="22" s="1"/>
  <c r="G49" i="44" l="1"/>
  <c r="G5" i="33"/>
  <c r="D30" i="26"/>
  <c r="H42" i="24"/>
  <c r="I41" i="24" s="1"/>
  <c r="H24" i="26" s="1"/>
  <c r="J19" i="24"/>
  <c r="J25" i="24" s="1"/>
  <c r="I6" i="26" s="1"/>
  <c r="G41" i="24"/>
  <c r="F24" i="26" s="1"/>
  <c r="F8" i="25"/>
  <c r="E25" i="26"/>
  <c r="I38" i="24"/>
  <c r="I39" i="24" s="1"/>
  <c r="H14" i="26"/>
  <c r="H51" i="44" s="1"/>
  <c r="H7" i="25"/>
  <c r="H29" i="25"/>
  <c r="G23" i="26"/>
  <c r="I28" i="24"/>
  <c r="I53" i="24" s="1"/>
  <c r="H27" i="26" s="1"/>
  <c r="H63" i="44" s="1"/>
  <c r="H7" i="26"/>
  <c r="H10" i="26" s="1"/>
  <c r="G29" i="26"/>
  <c r="E24" i="9"/>
  <c r="F28" i="25"/>
  <c r="G26" i="25" s="1"/>
  <c r="H11" i="25"/>
  <c r="G28" i="9" s="1"/>
  <c r="H10" i="25"/>
  <c r="G27" i="9" s="1"/>
  <c r="E27" i="25"/>
  <c r="E14" i="25" s="1"/>
  <c r="I49" i="24"/>
  <c r="H28" i="26" s="1"/>
  <c r="F24" i="9"/>
  <c r="G28" i="25"/>
  <c r="H26" i="25" s="1"/>
  <c r="F44" i="24"/>
  <c r="F52" i="24" s="1"/>
  <c r="F55" i="24" s="1"/>
  <c r="F56" i="24" s="1"/>
  <c r="D16" i="8"/>
  <c r="G9" i="25"/>
  <c r="F26" i="9" s="1"/>
  <c r="F29" i="26"/>
  <c r="H49" i="24"/>
  <c r="G28" i="26" s="1"/>
  <c r="H41" i="24"/>
  <c r="G8" i="25"/>
  <c r="F25" i="26"/>
  <c r="K32" i="24"/>
  <c r="J16" i="26" s="1"/>
  <c r="J53" i="44" s="1"/>
  <c r="K14" i="24"/>
  <c r="K33" i="24"/>
  <c r="J17" i="26" s="1"/>
  <c r="J54" i="44" s="1"/>
  <c r="K17" i="24"/>
  <c r="L16" i="24" s="1"/>
  <c r="K31" i="24"/>
  <c r="J15" i="26" s="1"/>
  <c r="J52" i="44" s="1"/>
  <c r="K22" i="24"/>
  <c r="K34" i="24"/>
  <c r="J18" i="26" s="1"/>
  <c r="J55" i="44" s="1"/>
  <c r="K35" i="24"/>
  <c r="J19" i="26" s="1"/>
  <c r="J56" i="44" s="1"/>
  <c r="J23" i="24"/>
  <c r="J26" i="24" s="1"/>
  <c r="J30" i="24"/>
  <c r="K13" i="24"/>
  <c r="J19" i="1"/>
  <c r="K17" i="1"/>
  <c r="D21" i="1"/>
  <c r="M4" i="25"/>
  <c r="M25" i="25" s="1"/>
  <c r="M4" i="24"/>
  <c r="M19" i="22"/>
  <c r="M119" i="22" s="1"/>
  <c r="L4" i="26"/>
  <c r="N82" i="2"/>
  <c r="K4" i="33"/>
  <c r="K50" i="33" s="1"/>
  <c r="K57" i="33" s="1"/>
  <c r="K48" i="26"/>
  <c r="J48" i="44"/>
  <c r="K120" i="22"/>
  <c r="N106" i="4"/>
  <c r="AP61" i="4"/>
  <c r="AQ62" i="4"/>
  <c r="J4" i="9"/>
  <c r="J4" i="44" s="1"/>
  <c r="J20" i="44" s="1"/>
  <c r="J47" i="44" s="1"/>
  <c r="M83" i="2"/>
  <c r="M101" i="2"/>
  <c r="K4" i="8"/>
  <c r="K5" i="26"/>
  <c r="L5" i="24"/>
  <c r="L11" i="24" s="1"/>
  <c r="L5" i="25"/>
  <c r="L20" i="22"/>
  <c r="K61" i="4"/>
  <c r="H49" i="44" l="1"/>
  <c r="H5" i="33"/>
  <c r="D31" i="26"/>
  <c r="D7" i="33"/>
  <c r="F58" i="44"/>
  <c r="E26" i="26"/>
  <c r="E30" i="26" s="1"/>
  <c r="E58" i="44"/>
  <c r="H8" i="25"/>
  <c r="G25" i="9" s="1"/>
  <c r="G25" i="26"/>
  <c r="F27" i="25"/>
  <c r="F14" i="25" s="1"/>
  <c r="F16" i="25" s="1"/>
  <c r="G44" i="24"/>
  <c r="G52" i="24" s="1"/>
  <c r="G55" i="24" s="1"/>
  <c r="G56" i="24" s="1"/>
  <c r="F26" i="26"/>
  <c r="F30" i="26" s="1"/>
  <c r="K19" i="24"/>
  <c r="K25" i="24" s="1"/>
  <c r="J6" i="26" s="1"/>
  <c r="G24" i="9"/>
  <c r="H28" i="25"/>
  <c r="I26" i="25" s="1"/>
  <c r="G27" i="25"/>
  <c r="G14" i="25" s="1"/>
  <c r="I7" i="25"/>
  <c r="I29" i="25"/>
  <c r="H23" i="26"/>
  <c r="E16" i="25"/>
  <c r="D14" i="9"/>
  <c r="I10" i="25"/>
  <c r="H27" i="9" s="1"/>
  <c r="I11" i="25"/>
  <c r="H28" i="9" s="1"/>
  <c r="E25" i="9"/>
  <c r="F12" i="25"/>
  <c r="J38" i="24"/>
  <c r="J39" i="24" s="1"/>
  <c r="I14" i="26"/>
  <c r="I51" i="44" s="1"/>
  <c r="J28" i="24"/>
  <c r="J53" i="24" s="1"/>
  <c r="I27" i="26" s="1"/>
  <c r="I63" i="44" s="1"/>
  <c r="I7" i="26"/>
  <c r="I10" i="26" s="1"/>
  <c r="F25" i="9"/>
  <c r="G12" i="25"/>
  <c r="G24" i="26"/>
  <c r="H44" i="24"/>
  <c r="H52" i="24" s="1"/>
  <c r="H55" i="24" s="1"/>
  <c r="H56" i="24" s="1"/>
  <c r="I42" i="24"/>
  <c r="I50" i="24"/>
  <c r="L34" i="24"/>
  <c r="K18" i="26" s="1"/>
  <c r="K55" i="44" s="1"/>
  <c r="L31" i="24"/>
  <c r="K15" i="26" s="1"/>
  <c r="K52" i="44" s="1"/>
  <c r="L14" i="24"/>
  <c r="L22" i="24"/>
  <c r="L35" i="24"/>
  <c r="K19" i="26" s="1"/>
  <c r="K56" i="44" s="1"/>
  <c r="L32" i="24"/>
  <c r="K16" i="26" s="1"/>
  <c r="K53" i="44" s="1"/>
  <c r="L17" i="24"/>
  <c r="M16" i="24" s="1"/>
  <c r="L33" i="24"/>
  <c r="K17" i="26" s="1"/>
  <c r="K54" i="44" s="1"/>
  <c r="L13" i="24"/>
  <c r="K23" i="24"/>
  <c r="K26" i="24" s="1"/>
  <c r="K30" i="24"/>
  <c r="K19" i="1"/>
  <c r="E21" i="1"/>
  <c r="M84" i="2"/>
  <c r="M5" i="25"/>
  <c r="M5" i="24"/>
  <c r="M11" i="24" s="1"/>
  <c r="L5" i="26"/>
  <c r="M20" i="22"/>
  <c r="M120" i="22" s="1"/>
  <c r="L17" i="1"/>
  <c r="L4" i="8"/>
  <c r="L4" i="9" s="1"/>
  <c r="L4" i="44" s="1"/>
  <c r="L20" i="44" s="1"/>
  <c r="L47" i="44" s="1"/>
  <c r="L4" i="33"/>
  <c r="L50" i="33" s="1"/>
  <c r="L57" i="33" s="1"/>
  <c r="L48" i="26"/>
  <c r="N83" i="2"/>
  <c r="N19" i="22"/>
  <c r="N119" i="22" s="1"/>
  <c r="N4" i="24"/>
  <c r="N101" i="2"/>
  <c r="N4" i="25"/>
  <c r="N25" i="25" s="1"/>
  <c r="M4" i="26"/>
  <c r="K48" i="44"/>
  <c r="L120" i="22"/>
  <c r="O106" i="4"/>
  <c r="AR62" i="4"/>
  <c r="AQ61" i="4"/>
  <c r="K4" i="9"/>
  <c r="K4" i="44" s="1"/>
  <c r="K20" i="44" s="1"/>
  <c r="K47" i="44" s="1"/>
  <c r="L61" i="4"/>
  <c r="E31" i="26" l="1"/>
  <c r="E22" i="1" s="1"/>
  <c r="E7" i="33"/>
  <c r="I49" i="44"/>
  <c r="I5" i="33"/>
  <c r="F31" i="26"/>
  <c r="F7" i="33"/>
  <c r="D32" i="26"/>
  <c r="D8" i="33"/>
  <c r="D41" i="33" s="1"/>
  <c r="G58" i="44"/>
  <c r="H12" i="25"/>
  <c r="G16" i="8" s="1"/>
  <c r="G18" i="8" s="1"/>
  <c r="G26" i="26"/>
  <c r="G30" i="26" s="1"/>
  <c r="E14" i="9"/>
  <c r="H27" i="25"/>
  <c r="H14" i="25" s="1"/>
  <c r="G14" i="9" s="1"/>
  <c r="L19" i="24"/>
  <c r="L25" i="24" s="1"/>
  <c r="K6" i="26" s="1"/>
  <c r="E8" i="8"/>
  <c r="F17" i="25"/>
  <c r="F18" i="25" s="1"/>
  <c r="F19" i="25" s="1"/>
  <c r="F20" i="25" s="1"/>
  <c r="E16" i="8"/>
  <c r="E18" i="8" s="1"/>
  <c r="J50" i="24"/>
  <c r="J42" i="24"/>
  <c r="K38" i="24"/>
  <c r="K39" i="24" s="1"/>
  <c r="J14" i="26"/>
  <c r="J51" i="44" s="1"/>
  <c r="K28" i="24"/>
  <c r="K53" i="24" s="1"/>
  <c r="J27" i="26" s="1"/>
  <c r="J63" i="44" s="1"/>
  <c r="J7" i="26"/>
  <c r="J10" i="26" s="1"/>
  <c r="D8" i="8"/>
  <c r="E17" i="25"/>
  <c r="E18" i="25" s="1"/>
  <c r="C17" i="3" s="1"/>
  <c r="H24" i="9"/>
  <c r="I28" i="25"/>
  <c r="J26" i="25" s="1"/>
  <c r="J11" i="25"/>
  <c r="I28" i="9" s="1"/>
  <c r="J10" i="25"/>
  <c r="I27" i="9" s="1"/>
  <c r="G16" i="25"/>
  <c r="F8" i="8" s="1"/>
  <c r="F14" i="9"/>
  <c r="J7" i="25"/>
  <c r="J29" i="25"/>
  <c r="I23" i="26"/>
  <c r="F16" i="8"/>
  <c r="F18" i="8" s="1"/>
  <c r="I9" i="25"/>
  <c r="H26" i="9" s="1"/>
  <c r="H29" i="26"/>
  <c r="J49" i="24"/>
  <c r="I28" i="26" s="1"/>
  <c r="J41" i="24"/>
  <c r="H25" i="26"/>
  <c r="I8" i="25"/>
  <c r="I44" i="24"/>
  <c r="I52" i="24" s="1"/>
  <c r="I55" i="24" s="1"/>
  <c r="I56" i="24" s="1"/>
  <c r="L30" i="24"/>
  <c r="L23" i="24"/>
  <c r="L26" i="24" s="1"/>
  <c r="M35" i="24"/>
  <c r="L19" i="26" s="1"/>
  <c r="L56" i="44" s="1"/>
  <c r="M31" i="24"/>
  <c r="L15" i="26" s="1"/>
  <c r="L52" i="44" s="1"/>
  <c r="M17" i="24"/>
  <c r="N16" i="24" s="1"/>
  <c r="M14" i="24"/>
  <c r="M33" i="24"/>
  <c r="L17" i="26" s="1"/>
  <c r="L54" i="44" s="1"/>
  <c r="M32" i="24"/>
  <c r="L16" i="26" s="1"/>
  <c r="L53" i="44" s="1"/>
  <c r="M22" i="24"/>
  <c r="M34" i="24"/>
  <c r="L18" i="26" s="1"/>
  <c r="L55" i="44" s="1"/>
  <c r="M13" i="24"/>
  <c r="F21" i="1"/>
  <c r="M17" i="1"/>
  <c r="M4" i="8"/>
  <c r="M4" i="9" s="1"/>
  <c r="M4" i="44" s="1"/>
  <c r="M20" i="44" s="1"/>
  <c r="M47" i="44" s="1"/>
  <c r="M4" i="33"/>
  <c r="M50" i="33" s="1"/>
  <c r="M57" i="33" s="1"/>
  <c r="M48" i="26"/>
  <c r="L48" i="44"/>
  <c r="L19" i="1"/>
  <c r="N84" i="2"/>
  <c r="N20" i="22"/>
  <c r="N120" i="22" s="1"/>
  <c r="N5" i="25"/>
  <c r="M5" i="26"/>
  <c r="N5" i="24"/>
  <c r="N11" i="24" s="1"/>
  <c r="P106" i="4"/>
  <c r="AR61" i="4"/>
  <c r="AS62" i="4"/>
  <c r="D22" i="1"/>
  <c r="M61" i="4"/>
  <c r="J49" i="44" l="1"/>
  <c r="J5" i="33"/>
  <c r="F32" i="26"/>
  <c r="F8" i="33"/>
  <c r="G31" i="26"/>
  <c r="G7" i="33"/>
  <c r="E32" i="26"/>
  <c r="E27" i="1" s="1"/>
  <c r="E8" i="33"/>
  <c r="H26" i="26"/>
  <c r="H30" i="26" s="1"/>
  <c r="H58" i="44"/>
  <c r="H16" i="25"/>
  <c r="H17" i="25" s="1"/>
  <c r="H18" i="25" s="1"/>
  <c r="H19" i="25" s="1"/>
  <c r="H20" i="25" s="1"/>
  <c r="G17" i="9" s="1"/>
  <c r="G13" i="9" s="1"/>
  <c r="G25" i="33" s="1"/>
  <c r="I27" i="25"/>
  <c r="I14" i="25" s="1"/>
  <c r="I16" i="25" s="1"/>
  <c r="M19" i="24"/>
  <c r="M25" i="24" s="1"/>
  <c r="L6" i="26" s="1"/>
  <c r="E19" i="25"/>
  <c r="E20" i="25" s="1"/>
  <c r="D17" i="9" s="1"/>
  <c r="D13" i="9" s="1"/>
  <c r="D25" i="33" s="1"/>
  <c r="G17" i="25"/>
  <c r="G18" i="25" s="1"/>
  <c r="G19" i="25" s="1"/>
  <c r="G20" i="25" s="1"/>
  <c r="F17" i="9" s="1"/>
  <c r="F13" i="9" s="1"/>
  <c r="F25" i="33" s="1"/>
  <c r="K29" i="25"/>
  <c r="K7" i="25"/>
  <c r="J23" i="26"/>
  <c r="I24" i="9"/>
  <c r="J28" i="25"/>
  <c r="K26" i="25" s="1"/>
  <c r="L28" i="24"/>
  <c r="L53" i="24" s="1"/>
  <c r="K27" i="26" s="1"/>
  <c r="K63" i="44" s="1"/>
  <c r="K7" i="26"/>
  <c r="K10" i="26" s="1"/>
  <c r="L38" i="24"/>
  <c r="L39" i="24" s="1"/>
  <c r="L50" i="24" s="1"/>
  <c r="K29" i="26" s="1"/>
  <c r="K14" i="26"/>
  <c r="K51" i="44" s="1"/>
  <c r="K41" i="24"/>
  <c r="J24" i="26" s="1"/>
  <c r="J8" i="25"/>
  <c r="I25" i="9" s="1"/>
  <c r="I25" i="26"/>
  <c r="K49" i="24"/>
  <c r="J28" i="26" s="1"/>
  <c r="J9" i="25"/>
  <c r="I26" i="9" s="1"/>
  <c r="I29" i="26"/>
  <c r="K11" i="25"/>
  <c r="J28" i="9" s="1"/>
  <c r="K10" i="25"/>
  <c r="J27" i="9" s="1"/>
  <c r="F22" i="25"/>
  <c r="E37" i="26" s="1"/>
  <c r="E13" i="33" s="1"/>
  <c r="F23" i="25"/>
  <c r="E38" i="26" s="1"/>
  <c r="E14" i="33" s="1"/>
  <c r="E17" i="9"/>
  <c r="E13" i="9" s="1"/>
  <c r="E25" i="33" s="1"/>
  <c r="H25" i="9"/>
  <c r="I12" i="25"/>
  <c r="I24" i="26"/>
  <c r="J44" i="24"/>
  <c r="J52" i="24" s="1"/>
  <c r="J55" i="24" s="1"/>
  <c r="J56" i="24" s="1"/>
  <c r="K42" i="24"/>
  <c r="K50" i="24"/>
  <c r="N34" i="24"/>
  <c r="M18" i="26" s="1"/>
  <c r="M55" i="44" s="1"/>
  <c r="N14" i="24"/>
  <c r="N35" i="24"/>
  <c r="M19" i="26" s="1"/>
  <c r="M56" i="44" s="1"/>
  <c r="N17" i="24"/>
  <c r="N32" i="24"/>
  <c r="M16" i="26" s="1"/>
  <c r="M53" i="44" s="1"/>
  <c r="N33" i="24"/>
  <c r="M17" i="26" s="1"/>
  <c r="M54" i="44" s="1"/>
  <c r="N31" i="24"/>
  <c r="M15" i="26" s="1"/>
  <c r="M52" i="44" s="1"/>
  <c r="N22" i="24"/>
  <c r="M23" i="24"/>
  <c r="M26" i="24" s="1"/>
  <c r="M30" i="24"/>
  <c r="N13" i="24"/>
  <c r="G21" i="1"/>
  <c r="M48" i="44"/>
  <c r="M19" i="1"/>
  <c r="Q106" i="4"/>
  <c r="AS61" i="4"/>
  <c r="AT62" i="4"/>
  <c r="F22" i="1"/>
  <c r="D27" i="1"/>
  <c r="N61" i="4"/>
  <c r="E41" i="33" l="1"/>
  <c r="F41" i="33"/>
  <c r="K49" i="44"/>
  <c r="K5" i="33"/>
  <c r="G32" i="26"/>
  <c r="G8" i="33"/>
  <c r="H31" i="26"/>
  <c r="H7" i="33"/>
  <c r="E57" i="44"/>
  <c r="E50" i="44" s="1"/>
  <c r="I58" i="44"/>
  <c r="G8" i="8"/>
  <c r="H22" i="25"/>
  <c r="G37" i="26" s="1"/>
  <c r="G13" i="33" s="1"/>
  <c r="H23" i="25"/>
  <c r="G38" i="26" s="1"/>
  <c r="G14" i="33" s="1"/>
  <c r="H8" i="8"/>
  <c r="H14" i="9"/>
  <c r="J27" i="25"/>
  <c r="J14" i="25" s="1"/>
  <c r="J16" i="25" s="1"/>
  <c r="I8" i="8" s="1"/>
  <c r="M49" i="24"/>
  <c r="L28" i="26" s="1"/>
  <c r="G23" i="25"/>
  <c r="F38" i="26" s="1"/>
  <c r="F14" i="33" s="1"/>
  <c r="E14" i="1"/>
  <c r="G22" i="25"/>
  <c r="F37" i="26" s="1"/>
  <c r="F13" i="33" s="1"/>
  <c r="D12" i="8"/>
  <c r="E22" i="25"/>
  <c r="D37" i="26" s="1"/>
  <c r="D13" i="33" s="1"/>
  <c r="E12" i="8"/>
  <c r="G12" i="8"/>
  <c r="I26" i="26"/>
  <c r="I30" i="26" s="1"/>
  <c r="L42" i="24"/>
  <c r="M41" i="24" s="1"/>
  <c r="L24" i="26" s="1"/>
  <c r="L9" i="25"/>
  <c r="K26" i="9" s="1"/>
  <c r="F12" i="8"/>
  <c r="N19" i="24"/>
  <c r="N25" i="24" s="1"/>
  <c r="M6" i="26" s="1"/>
  <c r="E23" i="25"/>
  <c r="D38" i="26" s="1"/>
  <c r="D14" i="33" s="1"/>
  <c r="J12" i="25"/>
  <c r="I16" i="8" s="1"/>
  <c r="I18" i="8" s="1"/>
  <c r="L7" i="25"/>
  <c r="L29" i="25"/>
  <c r="K23" i="26"/>
  <c r="M28" i="24"/>
  <c r="M53" i="24" s="1"/>
  <c r="L27" i="26" s="1"/>
  <c r="L63" i="44" s="1"/>
  <c r="L7" i="26"/>
  <c r="L10" i="26" s="1"/>
  <c r="J24" i="9"/>
  <c r="K28" i="25"/>
  <c r="L26" i="25" s="1"/>
  <c r="L10" i="25"/>
  <c r="K27" i="9" s="1"/>
  <c r="L11" i="25"/>
  <c r="K28" i="9" s="1"/>
  <c r="M38" i="24"/>
  <c r="M39" i="24" s="1"/>
  <c r="L14" i="26"/>
  <c r="L51" i="44" s="1"/>
  <c r="K9" i="25"/>
  <c r="J26" i="9" s="1"/>
  <c r="J29" i="26"/>
  <c r="L49" i="24"/>
  <c r="K28" i="26" s="1"/>
  <c r="L41" i="24"/>
  <c r="J25" i="26"/>
  <c r="J26" i="26" s="1"/>
  <c r="K8" i="25"/>
  <c r="K44" i="24"/>
  <c r="K52" i="24" s="1"/>
  <c r="K55" i="24" s="1"/>
  <c r="K56" i="24" s="1"/>
  <c r="I17" i="25"/>
  <c r="I18" i="25" s="1"/>
  <c r="I19" i="25" s="1"/>
  <c r="I20" i="25" s="1"/>
  <c r="H16" i="8"/>
  <c r="H18" i="8" s="1"/>
  <c r="N30" i="24"/>
  <c r="N23" i="24"/>
  <c r="N26" i="24" s="1"/>
  <c r="H21" i="1"/>
  <c r="C17" i="4"/>
  <c r="F27" i="1"/>
  <c r="AT61" i="4"/>
  <c r="AU62" i="4"/>
  <c r="O61" i="4"/>
  <c r="G41" i="33" l="1"/>
  <c r="L49" i="44"/>
  <c r="L5" i="33"/>
  <c r="I31" i="26"/>
  <c r="I7" i="33"/>
  <c r="H32" i="26"/>
  <c r="H8" i="33"/>
  <c r="E59" i="44"/>
  <c r="E67" i="44" s="1"/>
  <c r="F57" i="44"/>
  <c r="F50" i="44" s="1"/>
  <c r="G57" i="44"/>
  <c r="G50" i="44" s="1"/>
  <c r="D57" i="44"/>
  <c r="D50" i="44" s="1"/>
  <c r="D59" i="44" s="1"/>
  <c r="D67" i="44" s="1"/>
  <c r="J58" i="44"/>
  <c r="I14" i="9"/>
  <c r="K25" i="26"/>
  <c r="L8" i="25"/>
  <c r="K25" i="9" s="1"/>
  <c r="J17" i="25"/>
  <c r="J18" i="25" s="1"/>
  <c r="J19" i="25" s="1"/>
  <c r="J20" i="25" s="1"/>
  <c r="I17" i="9" s="1"/>
  <c r="K27" i="25"/>
  <c r="K14" i="25" s="1"/>
  <c r="K16" i="25" s="1"/>
  <c r="J8" i="8" s="1"/>
  <c r="N28" i="24"/>
  <c r="N53" i="24" s="1"/>
  <c r="M27" i="26" s="1"/>
  <c r="M63" i="44" s="1"/>
  <c r="M7" i="26"/>
  <c r="M10" i="26" s="1"/>
  <c r="M11" i="25"/>
  <c r="L28" i="9" s="1"/>
  <c r="M10" i="25"/>
  <c r="L27" i="9" s="1"/>
  <c r="L28" i="25"/>
  <c r="M26" i="25" s="1"/>
  <c r="K24" i="9"/>
  <c r="N38" i="24"/>
  <c r="N39" i="24" s="1"/>
  <c r="N50" i="24" s="1"/>
  <c r="M14" i="26"/>
  <c r="M51" i="44" s="1"/>
  <c r="M29" i="25"/>
  <c r="M7" i="25"/>
  <c r="L23" i="26"/>
  <c r="M42" i="24"/>
  <c r="M50" i="24"/>
  <c r="J25" i="9"/>
  <c r="K12" i="25"/>
  <c r="H17" i="9"/>
  <c r="H13" i="9" s="1"/>
  <c r="H25" i="33" s="1"/>
  <c r="H12" i="8"/>
  <c r="I23" i="25"/>
  <c r="H38" i="26" s="1"/>
  <c r="H14" i="33" s="1"/>
  <c r="I22" i="25"/>
  <c r="H37" i="26" s="1"/>
  <c r="H13" i="33" s="1"/>
  <c r="J30" i="26"/>
  <c r="K24" i="26"/>
  <c r="L44" i="24"/>
  <c r="L52" i="24" s="1"/>
  <c r="L55" i="24" s="1"/>
  <c r="L56" i="24" s="1"/>
  <c r="I17" i="4"/>
  <c r="E17" i="4"/>
  <c r="F17" i="4"/>
  <c r="G17" i="4"/>
  <c r="H17" i="4"/>
  <c r="I21" i="1"/>
  <c r="AV62" i="4"/>
  <c r="AU61" i="4"/>
  <c r="G22" i="1"/>
  <c r="P61" i="4"/>
  <c r="H41" i="33" l="1"/>
  <c r="J31" i="26"/>
  <c r="J8" i="33" s="1"/>
  <c r="J7" i="33"/>
  <c r="I32" i="26"/>
  <c r="I8" i="33"/>
  <c r="M49" i="44"/>
  <c r="M5" i="33"/>
  <c r="F59" i="44"/>
  <c r="F67" i="44" s="1"/>
  <c r="G59" i="44"/>
  <c r="G67" i="44" s="1"/>
  <c r="H57" i="44"/>
  <c r="H50" i="44" s="1"/>
  <c r="K58" i="44"/>
  <c r="K26" i="26"/>
  <c r="K30" i="26" s="1"/>
  <c r="I13" i="9"/>
  <c r="I25" i="33" s="1"/>
  <c r="L12" i="25"/>
  <c r="K16" i="8" s="1"/>
  <c r="K18" i="8" s="1"/>
  <c r="L27" i="25"/>
  <c r="L14" i="25" s="1"/>
  <c r="L16" i="25" s="1"/>
  <c r="I12" i="8"/>
  <c r="N42" i="24"/>
  <c r="N8" i="25" s="1"/>
  <c r="J14" i="9"/>
  <c r="J23" i="25"/>
  <c r="I38" i="26" s="1"/>
  <c r="I14" i="33" s="1"/>
  <c r="J22" i="25"/>
  <c r="I37" i="26" s="1"/>
  <c r="I13" i="33" s="1"/>
  <c r="M28" i="25"/>
  <c r="N26" i="25" s="1"/>
  <c r="L24" i="9"/>
  <c r="N11" i="25"/>
  <c r="M28" i="9" s="1"/>
  <c r="N10" i="25"/>
  <c r="M27" i="9" s="1"/>
  <c r="N29" i="25"/>
  <c r="N7" i="25"/>
  <c r="M23" i="26"/>
  <c r="M9" i="25"/>
  <c r="L26" i="9" s="1"/>
  <c r="L29" i="26"/>
  <c r="N49" i="24"/>
  <c r="M28" i="26" s="1"/>
  <c r="M29" i="26"/>
  <c r="N9" i="25"/>
  <c r="M26" i="9" s="1"/>
  <c r="J16" i="8"/>
  <c r="J18" i="8" s="1"/>
  <c r="K17" i="25"/>
  <c r="K18" i="25" s="1"/>
  <c r="K19" i="25" s="1"/>
  <c r="K20" i="25" s="1"/>
  <c r="N41" i="24"/>
  <c r="L25" i="26"/>
  <c r="M8" i="25"/>
  <c r="M44" i="24"/>
  <c r="M52" i="24" s="1"/>
  <c r="M55" i="24" s="1"/>
  <c r="M56" i="24" s="1"/>
  <c r="J17" i="4"/>
  <c r="K17" i="4" s="1"/>
  <c r="E88" i="4"/>
  <c r="J21" i="1"/>
  <c r="G27" i="1"/>
  <c r="AV61" i="4"/>
  <c r="AW62" i="4"/>
  <c r="H22" i="1"/>
  <c r="Q61" i="4"/>
  <c r="I41" i="33" l="1"/>
  <c r="J41" i="33"/>
  <c r="J32" i="26"/>
  <c r="K31" i="26"/>
  <c r="K7" i="33"/>
  <c r="H59" i="44"/>
  <c r="H67" i="44" s="1"/>
  <c r="I57" i="44"/>
  <c r="I50" i="44" s="1"/>
  <c r="L26" i="26"/>
  <c r="L30" i="26" s="1"/>
  <c r="L58" i="44"/>
  <c r="K14" i="9"/>
  <c r="M25" i="26"/>
  <c r="M24" i="9"/>
  <c r="N28" i="25"/>
  <c r="N27" i="25" s="1"/>
  <c r="N14" i="25" s="1"/>
  <c r="M27" i="25"/>
  <c r="M14" i="25" s="1"/>
  <c r="K8" i="8"/>
  <c r="L17" i="25"/>
  <c r="L18" i="25" s="1"/>
  <c r="L19" i="25" s="1"/>
  <c r="L20" i="25" s="1"/>
  <c r="L25" i="9"/>
  <c r="M12" i="25"/>
  <c r="J12" i="8"/>
  <c r="J17" i="9"/>
  <c r="J13" i="9" s="1"/>
  <c r="J25" i="33" s="1"/>
  <c r="K22" i="25"/>
  <c r="J37" i="26" s="1"/>
  <c r="J13" i="33" s="1"/>
  <c r="K23" i="25"/>
  <c r="J38" i="26" s="1"/>
  <c r="J14" i="33" s="1"/>
  <c r="M24" i="26"/>
  <c r="N44" i="24"/>
  <c r="N52" i="24" s="1"/>
  <c r="N55" i="24" s="1"/>
  <c r="N56" i="24" s="1"/>
  <c r="M25" i="9"/>
  <c r="N12" i="25"/>
  <c r="K21" i="1"/>
  <c r="L21" i="1"/>
  <c r="M21" i="1"/>
  <c r="H27" i="1"/>
  <c r="AW61" i="4"/>
  <c r="AX62" i="4"/>
  <c r="I22" i="1"/>
  <c r="R61" i="4"/>
  <c r="L31" i="26" l="1"/>
  <c r="L8" i="33" s="1"/>
  <c r="L7" i="33"/>
  <c r="K32" i="26"/>
  <c r="K8" i="33"/>
  <c r="I59" i="44"/>
  <c r="I67" i="44" s="1"/>
  <c r="J57" i="44"/>
  <c r="J50" i="44" s="1"/>
  <c r="M58" i="44"/>
  <c r="M26" i="26"/>
  <c r="M30" i="26" s="1"/>
  <c r="L23" i="25"/>
  <c r="K38" i="26" s="1"/>
  <c r="K14" i="33" s="1"/>
  <c r="L22" i="25"/>
  <c r="K37" i="26" s="1"/>
  <c r="K13" i="33" s="1"/>
  <c r="K17" i="9"/>
  <c r="K13" i="9" s="1"/>
  <c r="K25" i="33" s="1"/>
  <c r="K12" i="8"/>
  <c r="N16" i="25"/>
  <c r="N17" i="25" s="1"/>
  <c r="N18" i="25" s="1"/>
  <c r="M14" i="9"/>
  <c r="M16" i="25"/>
  <c r="L8" i="8" s="1"/>
  <c r="L14" i="9"/>
  <c r="L16" i="8"/>
  <c r="L18" i="8" s="1"/>
  <c r="M16" i="8"/>
  <c r="M18" i="8" s="1"/>
  <c r="I27" i="1"/>
  <c r="AX61" i="4"/>
  <c r="AY62" i="4"/>
  <c r="J22" i="1"/>
  <c r="K22" i="1"/>
  <c r="S61" i="4"/>
  <c r="K41" i="33" l="1"/>
  <c r="L41" i="33"/>
  <c r="L32" i="26"/>
  <c r="M31" i="26"/>
  <c r="M7" i="33"/>
  <c r="J59" i="44"/>
  <c r="J67" i="44" s="1"/>
  <c r="K57" i="44"/>
  <c r="K50" i="44" s="1"/>
  <c r="M17" i="25"/>
  <c r="M18" i="25" s="1"/>
  <c r="M19" i="25" s="1"/>
  <c r="M20" i="25" s="1"/>
  <c r="M8" i="8"/>
  <c r="N19" i="25"/>
  <c r="N20" i="25" s="1"/>
  <c r="K27" i="1"/>
  <c r="J27" i="1"/>
  <c r="AZ62" i="4"/>
  <c r="AY61" i="4"/>
  <c r="T61" i="4"/>
  <c r="M32" i="26" l="1"/>
  <c r="M27" i="1" s="1"/>
  <c r="M8" i="33"/>
  <c r="K59" i="44"/>
  <c r="K67" i="44" s="1"/>
  <c r="L12" i="8"/>
  <c r="L17" i="9"/>
  <c r="L13" i="9" s="1"/>
  <c r="L25" i="33" s="1"/>
  <c r="M22" i="25"/>
  <c r="L37" i="26" s="1"/>
  <c r="L13" i="33" s="1"/>
  <c r="M23" i="25"/>
  <c r="L38" i="26" s="1"/>
  <c r="L14" i="33" s="1"/>
  <c r="M17" i="9"/>
  <c r="M13" i="9" s="1"/>
  <c r="M25" i="33" s="1"/>
  <c r="M12" i="8"/>
  <c r="N22" i="25"/>
  <c r="M37" i="26" s="1"/>
  <c r="M13" i="33" s="1"/>
  <c r="N23" i="25"/>
  <c r="M38" i="26" s="1"/>
  <c r="M14" i="33" s="1"/>
  <c r="M22" i="1"/>
  <c r="L27" i="1"/>
  <c r="L22" i="1"/>
  <c r="AZ61" i="4"/>
  <c r="BA62" i="4"/>
  <c r="U61" i="4"/>
  <c r="M41" i="33" l="1"/>
  <c r="D46" i="33" s="1"/>
  <c r="M57" i="44"/>
  <c r="M50" i="44" s="1"/>
  <c r="L57" i="44"/>
  <c r="L50" i="44" s="1"/>
  <c r="BA61" i="4"/>
  <c r="BB62" i="4"/>
  <c r="V61" i="4"/>
  <c r="L59" i="44" l="1"/>
  <c r="L67" i="44" s="1"/>
  <c r="M59" i="44"/>
  <c r="M67" i="44" s="1"/>
  <c r="BB61" i="4"/>
  <c r="BC62" i="4"/>
  <c r="W61" i="4"/>
  <c r="BD62" i="4" l="1"/>
  <c r="BC61" i="4"/>
  <c r="X61" i="4"/>
  <c r="BD61" i="4" l="1"/>
  <c r="BE62" i="4"/>
  <c r="Y61" i="4"/>
  <c r="BE61" i="4" l="1"/>
  <c r="BF62" i="4"/>
  <c r="Z61" i="4"/>
  <c r="BF61" i="4" l="1"/>
  <c r="BG62" i="4"/>
  <c r="AA61" i="4"/>
  <c r="BH62" i="4" l="1"/>
  <c r="BG61" i="4"/>
  <c r="AB61" i="4"/>
  <c r="BI62" i="4" l="1"/>
  <c r="BH61" i="4"/>
  <c r="AC61" i="4"/>
  <c r="BI61" i="4" l="1"/>
  <c r="BJ62" i="4"/>
  <c r="AD61" i="4"/>
  <c r="BK62" i="4" l="1"/>
  <c r="BJ61" i="4"/>
  <c r="AE61" i="4"/>
  <c r="BL62" i="4" l="1"/>
  <c r="BK61" i="4"/>
  <c r="AF61" i="4"/>
  <c r="BL61" i="4" l="1"/>
  <c r="BM62" i="4"/>
  <c r="AG61" i="4"/>
  <c r="BM61" i="4" l="1"/>
  <c r="BN62" i="4"/>
  <c r="AI61" i="4"/>
  <c r="AH61" i="4"/>
  <c r="BN61" i="4" l="1"/>
  <c r="BO62" i="4"/>
  <c r="BP62" i="4" l="1"/>
  <c r="BO61" i="4"/>
  <c r="BP61" i="4" l="1"/>
  <c r="BQ62" i="4"/>
  <c r="BR62" i="4" l="1"/>
  <c r="BQ61" i="4"/>
  <c r="BR61" i="4" l="1"/>
  <c r="BS62" i="4"/>
  <c r="BT62" i="4" l="1"/>
  <c r="BS61" i="4"/>
  <c r="BU62" i="4" l="1"/>
  <c r="BT61" i="4"/>
  <c r="BU61" i="4" l="1"/>
  <c r="BV62" i="4"/>
  <c r="BV61" i="4" l="1"/>
  <c r="BW62" i="4"/>
  <c r="BX62" i="4" l="1"/>
  <c r="BW61" i="4"/>
  <c r="BX61" i="4" l="1"/>
  <c r="BY62" i="4"/>
  <c r="BY61" i="4" l="1"/>
  <c r="BZ62" i="4"/>
  <c r="BZ61" i="4" l="1"/>
  <c r="CA62" i="4"/>
  <c r="CA61" i="4" l="1"/>
  <c r="CB62" i="4"/>
  <c r="CB61" i="4" l="1"/>
  <c r="CC62" i="4"/>
  <c r="CC61" i="4" l="1"/>
  <c r="CD62" i="4"/>
  <c r="CD61" i="4" l="1"/>
  <c r="CE62" i="4"/>
  <c r="CF62" i="4" l="1"/>
  <c r="CE61" i="4"/>
  <c r="CF61" i="4" l="1"/>
  <c r="CG62" i="4"/>
  <c r="CG61" i="4" l="1"/>
  <c r="CH62" i="4"/>
  <c r="CH61" i="4" l="1"/>
  <c r="CI62" i="4"/>
  <c r="CJ62" i="4" l="1"/>
  <c r="CI61" i="4"/>
  <c r="CJ61" i="4" l="1"/>
  <c r="CK62" i="4"/>
  <c r="CK61" i="4" l="1"/>
  <c r="CL62" i="4"/>
  <c r="CL61" i="4" l="1"/>
  <c r="CM62" i="4"/>
  <c r="CN62" i="4" l="1"/>
  <c r="CM61" i="4"/>
  <c r="CO62" i="4" l="1"/>
  <c r="CN61" i="4"/>
  <c r="CO61" i="4" l="1"/>
  <c r="CP62" i="4"/>
  <c r="CP61" i="4" l="1"/>
  <c r="CQ62" i="4"/>
  <c r="CQ61" i="4" l="1"/>
  <c r="CR62" i="4"/>
  <c r="CR61" i="4" l="1"/>
  <c r="CS62" i="4"/>
  <c r="CS61" i="4" l="1"/>
  <c r="CT62" i="4"/>
  <c r="CT61" i="4" l="1"/>
  <c r="CU62" i="4"/>
  <c r="CV62" i="4" l="1"/>
  <c r="CU61" i="4"/>
  <c r="CV61" i="4" l="1"/>
  <c r="CW62" i="4"/>
  <c r="CW61" i="4" l="1"/>
  <c r="CX62" i="4"/>
  <c r="CX61" i="4" l="1"/>
  <c r="CY62" i="4"/>
  <c r="CY61" i="4" l="1"/>
  <c r="CZ62" i="4"/>
  <c r="CZ61" i="4" l="1"/>
  <c r="DA62" i="4"/>
  <c r="DA61" i="4" l="1"/>
  <c r="DB62" i="4"/>
  <c r="DB61" i="4" l="1"/>
  <c r="DC62" i="4"/>
  <c r="DC61" i="4" l="1"/>
  <c r="DD62" i="4"/>
  <c r="D141" i="22"/>
  <c r="D148" i="22"/>
  <c r="D114" i="22"/>
  <c r="D134" i="22"/>
  <c r="D127" i="22"/>
  <c r="DD61" i="4" l="1"/>
  <c r="DE62" i="4"/>
  <c r="D190" i="22"/>
  <c r="DE61" i="4" l="1"/>
  <c r="DF62" i="4"/>
  <c r="DF61" i="4" l="1"/>
  <c r="DG62" i="4"/>
  <c r="DH62" i="4" l="1"/>
  <c r="DG61" i="4"/>
  <c r="DH61" i="4" l="1"/>
  <c r="DI62" i="4"/>
  <c r="DI61" i="4" l="1"/>
  <c r="DJ62" i="4"/>
  <c r="DJ61" i="4" l="1"/>
  <c r="DK62" i="4"/>
  <c r="DK61" i="4" l="1"/>
  <c r="DL62" i="4"/>
  <c r="DL61" i="4" l="1"/>
  <c r="DM62" i="4"/>
  <c r="DM61" i="4" l="1"/>
  <c r="DN62" i="4"/>
  <c r="DN61" i="4" l="1"/>
  <c r="DO62" i="4"/>
  <c r="DP62" i="4" l="1"/>
  <c r="DO61" i="4"/>
  <c r="DP61" i="4" l="1"/>
  <c r="DQ62" i="4"/>
  <c r="DQ61" i="4" l="1"/>
  <c r="DR62" i="4"/>
  <c r="DR61" i="4" l="1"/>
  <c r="DS62" i="4"/>
  <c r="DS61" i="4" l="1"/>
  <c r="DT62" i="4"/>
  <c r="DT61" i="4" l="1"/>
  <c r="DU62" i="4"/>
  <c r="DU61" i="4" l="1"/>
  <c r="DV62" i="4"/>
  <c r="DW62" i="4" l="1"/>
  <c r="DV61" i="4"/>
  <c r="DX62" i="4" l="1"/>
  <c r="DW61" i="4"/>
  <c r="DX61" i="4" l="1"/>
  <c r="DY62" i="4"/>
  <c r="DZ62" i="4" l="1"/>
  <c r="DY61" i="4"/>
  <c r="DZ61" i="4" l="1"/>
  <c r="EA62" i="4"/>
  <c r="EA61" i="4" l="1"/>
  <c r="EB62" i="4"/>
  <c r="EB61" i="4" l="1"/>
  <c r="EC62" i="4"/>
  <c r="EC61" i="4" l="1"/>
  <c r="ED62" i="4"/>
  <c r="ED61" i="4" l="1"/>
  <c r="EE62" i="4"/>
  <c r="EF62" i="4" l="1"/>
  <c r="EE61" i="4"/>
  <c r="EG62" i="4" l="1"/>
  <c r="EF61" i="4"/>
  <c r="EH62" i="4" l="1"/>
  <c r="EG61" i="4"/>
  <c r="EI62" i="4" l="1"/>
  <c r="EH61" i="4"/>
  <c r="EJ62" i="4" l="1"/>
  <c r="EI61" i="4"/>
  <c r="EJ61" i="4" l="1"/>
  <c r="EK62" i="4"/>
  <c r="EK61" i="4" l="1"/>
  <c r="EL62" i="4"/>
  <c r="EM62" i="4" l="1"/>
  <c r="EL61" i="4"/>
  <c r="EM61" i="4" l="1"/>
  <c r="EN62" i="4"/>
  <c r="EN61" i="4" l="1"/>
  <c r="EO62" i="4"/>
  <c r="EO61" i="4" l="1"/>
  <c r="EP62" i="4"/>
  <c r="EP61" i="4" l="1"/>
  <c r="EQ62" i="4"/>
  <c r="ER62" i="4" l="1"/>
  <c r="EQ61" i="4"/>
  <c r="ER61" i="4" l="1"/>
  <c r="ES62" i="4"/>
  <c r="ET62" i="4" l="1"/>
  <c r="ES61" i="4"/>
  <c r="EU62" i="4" l="1"/>
  <c r="ET61" i="4"/>
  <c r="EV62" i="4" l="1"/>
  <c r="EU61" i="4"/>
  <c r="EV61" i="4" l="1"/>
  <c r="EW62" i="4"/>
  <c r="EW61" i="4" l="1"/>
  <c r="EX62" i="4"/>
  <c r="EY62" i="4" l="1"/>
  <c r="EX61" i="4"/>
  <c r="EY61" i="4" l="1"/>
  <c r="EZ62" i="4"/>
  <c r="EZ61" i="4" s="1"/>
  <c r="N116" i="4" l="1"/>
  <c r="P107" i="4"/>
  <c r="O107" i="4"/>
  <c r="O116" i="4"/>
  <c r="P116" i="4"/>
  <c r="Q107" i="4"/>
  <c r="D82" i="3" l="1"/>
  <c r="C16" i="3" s="1"/>
  <c r="C16" i="4" l="1"/>
  <c r="K16" i="4" l="1"/>
  <c r="D28" i="1" l="1"/>
  <c r="E28" i="1" l="1"/>
  <c r="D37" i="1" l="1"/>
  <c r="D39" i="1" l="1"/>
  <c r="D35" i="1"/>
  <c r="F28" i="1"/>
  <c r="E37" i="1" l="1"/>
  <c r="G28" i="1" l="1"/>
  <c r="E35" i="1"/>
  <c r="F37" i="1" l="1"/>
  <c r="E39" i="1"/>
  <c r="G37" i="1"/>
  <c r="F35" i="1" l="1"/>
  <c r="H28" i="1"/>
  <c r="F39" i="1" l="1"/>
  <c r="G35" i="1" l="1"/>
  <c r="I28" i="1"/>
  <c r="G39" i="1" l="1"/>
  <c r="H37" i="1"/>
  <c r="I37" i="1" l="1"/>
  <c r="H35" i="1"/>
  <c r="H39" i="1" l="1"/>
  <c r="J28" i="1" l="1"/>
  <c r="I35" i="1"/>
  <c r="I39" i="1" l="1"/>
  <c r="K28" i="1" l="1"/>
  <c r="J37" i="1" l="1"/>
  <c r="K37" i="1" l="1"/>
  <c r="J35" i="1"/>
  <c r="J39" i="1"/>
  <c r="K35" i="1" l="1"/>
  <c r="L28" i="1"/>
  <c r="K39" i="1" l="1"/>
  <c r="L37" i="1" l="1"/>
  <c r="M28" i="1" l="1"/>
  <c r="L35" i="1" l="1"/>
  <c r="L39" i="1"/>
  <c r="M35" i="1" l="1"/>
  <c r="D30" i="1"/>
  <c r="M37" i="1"/>
  <c r="D31" i="1" l="1"/>
  <c r="M39" i="1" l="1"/>
  <c r="L45" i="4" l="1"/>
  <c r="K45" i="4"/>
  <c r="V45" i="4" l="1"/>
  <c r="V57" i="4" s="1"/>
  <c r="E33" i="4" l="1"/>
  <c r="F33" i="4"/>
  <c r="G33" i="4"/>
  <c r="H33" i="4"/>
  <c r="I33" i="4"/>
  <c r="J33" i="4"/>
  <c r="E65" i="4"/>
  <c r="F65" i="4"/>
  <c r="I65" i="4"/>
  <c r="E101" i="4"/>
  <c r="E9" i="1"/>
  <c r="H65" i="4" l="1"/>
  <c r="G65" i="4"/>
  <c r="E109" i="4" l="1"/>
  <c r="C65" i="4"/>
  <c r="H66" i="4" l="1"/>
  <c r="P66" i="4"/>
  <c r="X66" i="4"/>
  <c r="AF66" i="4"/>
  <c r="AN66" i="4"/>
  <c r="AV66" i="4"/>
  <c r="BD66" i="4"/>
  <c r="BL66" i="4"/>
  <c r="BT66" i="4"/>
  <c r="CB66" i="4"/>
  <c r="CJ66" i="4"/>
  <c r="CR66" i="4"/>
  <c r="CZ66" i="4"/>
  <c r="DH66" i="4"/>
  <c r="DP66" i="4"/>
  <c r="I66" i="4"/>
  <c r="Q66" i="4"/>
  <c r="Y66" i="4"/>
  <c r="AG66" i="4"/>
  <c r="AO66" i="4"/>
  <c r="AW66" i="4"/>
  <c r="BE66" i="4"/>
  <c r="BM66" i="4"/>
  <c r="BU66" i="4"/>
  <c r="CC66" i="4"/>
  <c r="CK66" i="4"/>
  <c r="CS66" i="4"/>
  <c r="DA66" i="4"/>
  <c r="DI66" i="4"/>
  <c r="J66" i="4"/>
  <c r="R66" i="4"/>
  <c r="Z66" i="4"/>
  <c r="AH66" i="4"/>
  <c r="AP66" i="4"/>
  <c r="AX66" i="4"/>
  <c r="BF66" i="4"/>
  <c r="BN66" i="4"/>
  <c r="BV66" i="4"/>
  <c r="CD66" i="4"/>
  <c r="CL66" i="4"/>
  <c r="CT66" i="4"/>
  <c r="DB66" i="4"/>
  <c r="DJ66" i="4"/>
  <c r="K66" i="4"/>
  <c r="S66" i="4"/>
  <c r="AA66" i="4"/>
  <c r="AI66" i="4"/>
  <c r="AQ66" i="4"/>
  <c r="AY66" i="4"/>
  <c r="BG66" i="4"/>
  <c r="BO66" i="4"/>
  <c r="BW66" i="4"/>
  <c r="CE66" i="4"/>
  <c r="CM66" i="4"/>
  <c r="CU66" i="4"/>
  <c r="DC66" i="4"/>
  <c r="DK66" i="4"/>
  <c r="L66" i="4"/>
  <c r="T66" i="4"/>
  <c r="AB66" i="4"/>
  <c r="AJ66" i="4"/>
  <c r="AR66" i="4"/>
  <c r="AZ66" i="4"/>
  <c r="BH66" i="4"/>
  <c r="BP66" i="4"/>
  <c r="BX66" i="4"/>
  <c r="CF66" i="4"/>
  <c r="CN66" i="4"/>
  <c r="CV66" i="4"/>
  <c r="DD66" i="4"/>
  <c r="DL66" i="4"/>
  <c r="E66" i="4"/>
  <c r="M66" i="4"/>
  <c r="U66" i="4"/>
  <c r="AC66" i="4"/>
  <c r="AK66" i="4"/>
  <c r="AS66" i="4"/>
  <c r="BA66" i="4"/>
  <c r="BI66" i="4"/>
  <c r="BQ66" i="4"/>
  <c r="BY66" i="4"/>
  <c r="CG66" i="4"/>
  <c r="CO66" i="4"/>
  <c r="CW66" i="4"/>
  <c r="DE66" i="4"/>
  <c r="DM66" i="4"/>
  <c r="G66" i="4"/>
  <c r="O66" i="4"/>
  <c r="W66" i="4"/>
  <c r="AE66" i="4"/>
  <c r="AM66" i="4"/>
  <c r="AU66" i="4"/>
  <c r="BC66" i="4"/>
  <c r="BK66" i="4"/>
  <c r="BS66" i="4"/>
  <c r="CA66" i="4"/>
  <c r="CI66" i="4"/>
  <c r="CQ66" i="4"/>
  <c r="CY66" i="4"/>
  <c r="DG66" i="4"/>
  <c r="DO66" i="4"/>
  <c r="AT66" i="4"/>
  <c r="DF66" i="4"/>
  <c r="BR66" i="4"/>
  <c r="BB66" i="4"/>
  <c r="DN66" i="4"/>
  <c r="BJ66" i="4"/>
  <c r="AL66" i="4"/>
  <c r="F66" i="4"/>
  <c r="N66" i="4"/>
  <c r="BZ66" i="4"/>
  <c r="V66" i="4"/>
  <c r="CH66" i="4"/>
  <c r="AD66" i="4"/>
  <c r="CP66" i="4"/>
  <c r="CX66" i="4"/>
  <c r="C109" i="4"/>
  <c r="J107" i="4" l="1"/>
  <c r="J110" i="4"/>
  <c r="I116" i="4" s="1"/>
  <c r="E67" i="4"/>
  <c r="C66" i="4"/>
  <c r="E110" i="4"/>
  <c r="E107" i="4"/>
  <c r="K107" i="4"/>
  <c r="K110" i="4"/>
  <c r="J116" i="4" s="1"/>
  <c r="I107" i="4"/>
  <c r="I110" i="4"/>
  <c r="H116" i="4" s="1"/>
  <c r="M110" i="4"/>
  <c r="L116" i="4" s="1"/>
  <c r="M107" i="4"/>
  <c r="L110" i="4"/>
  <c r="K116" i="4" s="1"/>
  <c r="L107" i="4"/>
  <c r="G110" i="4"/>
  <c r="F116" i="4" s="1"/>
  <c r="G107" i="4"/>
  <c r="N110" i="4"/>
  <c r="M116" i="4" s="1"/>
  <c r="N107" i="4"/>
  <c r="H110" i="4"/>
  <c r="G116" i="4" s="1"/>
  <c r="H107" i="4"/>
  <c r="F107" i="4"/>
  <c r="F110" i="4"/>
  <c r="E116" i="4" s="1"/>
  <c r="C110" i="4" l="1"/>
  <c r="E111" i="4"/>
  <c r="F108" i="4" s="1"/>
  <c r="F111" i="4" s="1"/>
  <c r="G108" i="4" s="1"/>
  <c r="G111" i="4" s="1"/>
  <c r="H108" i="4" s="1"/>
  <c r="H111" i="4" s="1"/>
  <c r="I108" i="4" s="1"/>
  <c r="I111" i="4" s="1"/>
  <c r="J108" i="4" s="1"/>
  <c r="J111" i="4" s="1"/>
  <c r="K108" i="4" s="1"/>
  <c r="K111" i="4" s="1"/>
  <c r="L108" i="4" s="1"/>
  <c r="L111" i="4" s="1"/>
  <c r="M108" i="4" s="1"/>
  <c r="M111" i="4" s="1"/>
  <c r="N108" i="4" s="1"/>
  <c r="N111" i="4" s="1"/>
  <c r="O108" i="4" s="1"/>
  <c r="O111" i="4" s="1"/>
  <c r="P108" i="4" s="1"/>
  <c r="P111" i="4" s="1"/>
  <c r="Q108" i="4" s="1"/>
  <c r="Q111" i="4" s="1"/>
  <c r="F64" i="4"/>
  <c r="E70" i="4"/>
  <c r="F67" i="4" l="1"/>
  <c r="G64" i="4" s="1"/>
  <c r="F70" i="4"/>
  <c r="E71" i="4"/>
  <c r="E18" i="4" l="1"/>
  <c r="E72" i="4"/>
  <c r="F71" i="4"/>
  <c r="F18" i="4" s="1"/>
  <c r="F19" i="4" s="1"/>
  <c r="F26" i="4" s="1"/>
  <c r="F31" i="4" s="1"/>
  <c r="F34" i="4" s="1"/>
  <c r="F35" i="4" s="1"/>
  <c r="G67" i="4"/>
  <c r="H64" i="4" s="1"/>
  <c r="G70" i="4"/>
  <c r="G71" i="4" l="1"/>
  <c r="G18" i="4" s="1"/>
  <c r="G19" i="4" s="1"/>
  <c r="G26" i="4" s="1"/>
  <c r="G31" i="4" s="1"/>
  <c r="G34" i="4" s="1"/>
  <c r="G35" i="4" s="1"/>
  <c r="H67" i="4"/>
  <c r="I64" i="4" s="1"/>
  <c r="F72" i="4"/>
  <c r="E19" i="4"/>
  <c r="E26" i="4" s="1"/>
  <c r="I67" i="4" l="1"/>
  <c r="J64" i="4" s="1"/>
  <c r="H70" i="4"/>
  <c r="G72" i="4"/>
  <c r="J67" i="4" l="1"/>
  <c r="K64" i="4" s="1"/>
  <c r="H71" i="4"/>
  <c r="H72" i="4" s="1"/>
  <c r="I70" i="4"/>
  <c r="I71" i="4" l="1"/>
  <c r="I18" i="4" s="1"/>
  <c r="I19" i="4" s="1"/>
  <c r="I26" i="4" s="1"/>
  <c r="I31" i="4" s="1"/>
  <c r="I34" i="4" s="1"/>
  <c r="I35" i="4" s="1"/>
  <c r="H18" i="4"/>
  <c r="K70" i="4"/>
  <c r="K72" i="4" s="1"/>
  <c r="K67" i="4"/>
  <c r="L64" i="4" s="1"/>
  <c r="J70" i="4"/>
  <c r="J72" i="4" s="1"/>
  <c r="C71" i="4" l="1"/>
  <c r="E114" i="4"/>
  <c r="C114" i="4" s="1"/>
  <c r="C18" i="3" s="1"/>
  <c r="K4" i="3" s="1"/>
  <c r="I72" i="4"/>
  <c r="H19" i="4"/>
  <c r="H26" i="4" s="1"/>
  <c r="E89" i="4"/>
  <c r="E90" i="4" s="1"/>
  <c r="J18" i="4"/>
  <c r="L67" i="4"/>
  <c r="M64" i="4" s="1"/>
  <c r="L70" i="4"/>
  <c r="L72" i="4" s="1"/>
  <c r="C19" i="3" l="1"/>
  <c r="C21" i="3" s="1"/>
  <c r="E7" i="1" s="1"/>
  <c r="C18" i="4"/>
  <c r="C19" i="4" s="1"/>
  <c r="E113" i="4"/>
  <c r="J19" i="4"/>
  <c r="H31" i="4"/>
  <c r="H34" i="4" s="1"/>
  <c r="H35" i="4" s="1"/>
  <c r="E94" i="4"/>
  <c r="J26" i="4"/>
  <c r="K9" i="3"/>
  <c r="L9" i="3" s="1"/>
  <c r="E10" i="22" s="1"/>
  <c r="K11" i="3"/>
  <c r="L11" i="3" s="1"/>
  <c r="E12" i="22" s="1"/>
  <c r="K5" i="3"/>
  <c r="L5" i="3" s="1"/>
  <c r="K13" i="3"/>
  <c r="L13" i="3" s="1"/>
  <c r="E14" i="22" s="1"/>
  <c r="K6" i="3"/>
  <c r="L6" i="3" s="1"/>
  <c r="E7" i="22" s="1"/>
  <c r="K10" i="3"/>
  <c r="L10" i="3" s="1"/>
  <c r="E11" i="22" s="1"/>
  <c r="K8" i="3"/>
  <c r="L8" i="3" s="1"/>
  <c r="E9" i="22" s="1"/>
  <c r="K7" i="3"/>
  <c r="L7" i="3" s="1"/>
  <c r="E8" i="22" s="1"/>
  <c r="K12" i="3"/>
  <c r="L12" i="3" s="1"/>
  <c r="E13" i="22" s="1"/>
  <c r="M67" i="4"/>
  <c r="N64" i="4" s="1"/>
  <c r="M70" i="4"/>
  <c r="E33" i="2" l="1"/>
  <c r="D37" i="44" s="1"/>
  <c r="D40" i="44" s="1"/>
  <c r="K18" i="4"/>
  <c r="C20" i="4"/>
  <c r="C26" i="4"/>
  <c r="C35" i="4" s="1"/>
  <c r="E145" i="22"/>
  <c r="E51" i="22"/>
  <c r="E52" i="22" s="1"/>
  <c r="E99" i="22"/>
  <c r="E180" i="22"/>
  <c r="E61" i="22"/>
  <c r="E62" i="22" s="1"/>
  <c r="E152" i="22"/>
  <c r="E173" i="22"/>
  <c r="E174" i="22" s="1"/>
  <c r="E89" i="22"/>
  <c r="E90" i="22" s="1"/>
  <c r="E36" i="2"/>
  <c r="L14" i="3"/>
  <c r="L15" i="3" s="1"/>
  <c r="E6" i="22"/>
  <c r="M72" i="4"/>
  <c r="N67" i="4"/>
  <c r="O64" i="4" s="1"/>
  <c r="N70" i="4"/>
  <c r="N72" i="4" s="1"/>
  <c r="E37" i="2" l="1"/>
  <c r="C28" i="4"/>
  <c r="E30" i="4" s="1"/>
  <c r="E31" i="4" s="1"/>
  <c r="E11" i="1"/>
  <c r="E10" i="1" s="1"/>
  <c r="E37" i="44"/>
  <c r="H37" i="44" s="1"/>
  <c r="E39" i="44"/>
  <c r="H39" i="44" s="1"/>
  <c r="E38" i="44"/>
  <c r="H38" i="44" s="1"/>
  <c r="F88" i="22"/>
  <c r="F90" i="22" s="1"/>
  <c r="E91" i="22"/>
  <c r="E92" i="22" s="1"/>
  <c r="E93" i="22" s="1"/>
  <c r="E94" i="22" s="1"/>
  <c r="E175" i="22"/>
  <c r="E176" i="22" s="1"/>
  <c r="F172" i="22" s="1"/>
  <c r="F174" i="22" s="1"/>
  <c r="F175" i="22" s="1"/>
  <c r="F176" i="22" s="1"/>
  <c r="G172" i="22" s="1"/>
  <c r="G174" i="22" s="1"/>
  <c r="G175" i="22" s="1"/>
  <c r="G176" i="22" s="1"/>
  <c r="H172" i="22" s="1"/>
  <c r="H174" i="22" s="1"/>
  <c r="H175" i="22" s="1"/>
  <c r="H176" i="22" s="1"/>
  <c r="I172" i="22" s="1"/>
  <c r="I174" i="22" s="1"/>
  <c r="I175" i="22" s="1"/>
  <c r="I176" i="22" s="1"/>
  <c r="J172" i="22" s="1"/>
  <c r="J174" i="22" s="1"/>
  <c r="J175" i="22" s="1"/>
  <c r="J176" i="22" s="1"/>
  <c r="K172" i="22" s="1"/>
  <c r="K174" i="22" s="1"/>
  <c r="K175" i="22" s="1"/>
  <c r="K176" i="22" s="1"/>
  <c r="L172" i="22" s="1"/>
  <c r="E16" i="22"/>
  <c r="D14" i="8" s="1"/>
  <c r="E124" i="22"/>
  <c r="E125" i="22" s="1"/>
  <c r="E24" i="22"/>
  <c r="E25" i="22" s="1"/>
  <c r="E153" i="22"/>
  <c r="E154" i="22" s="1"/>
  <c r="E155" i="22" s="1"/>
  <c r="F151" i="22" s="1"/>
  <c r="F153" i="22" s="1"/>
  <c r="F154" i="22" s="1"/>
  <c r="F155" i="22" s="1"/>
  <c r="G151" i="22" s="1"/>
  <c r="G153" i="22" s="1"/>
  <c r="G154" i="22" s="1"/>
  <c r="G155" i="22" s="1"/>
  <c r="H151" i="22" s="1"/>
  <c r="H153" i="22" s="1"/>
  <c r="H154" i="22" s="1"/>
  <c r="H155" i="22" s="1"/>
  <c r="I151" i="22" s="1"/>
  <c r="I153" i="22" s="1"/>
  <c r="I154" i="22" s="1"/>
  <c r="I155" i="22" s="1"/>
  <c r="J151" i="22" s="1"/>
  <c r="J153" i="22" s="1"/>
  <c r="J154" i="22" s="1"/>
  <c r="J155" i="22" s="1"/>
  <c r="K151" i="22" s="1"/>
  <c r="K153" i="22" s="1"/>
  <c r="K154" i="22" s="1"/>
  <c r="K155" i="22" s="1"/>
  <c r="L151" i="22" s="1"/>
  <c r="E181" i="22"/>
  <c r="F60" i="22"/>
  <c r="F62" i="22" s="1"/>
  <c r="E63" i="22"/>
  <c r="E64" i="22" s="1"/>
  <c r="E65" i="22" s="1"/>
  <c r="E66" i="22" s="1"/>
  <c r="E100" i="22"/>
  <c r="E53" i="22"/>
  <c r="E54" i="22" s="1"/>
  <c r="E55" i="22" s="1"/>
  <c r="E56" i="22" s="1"/>
  <c r="F50" i="22"/>
  <c r="F52" i="22" s="1"/>
  <c r="E146" i="22"/>
  <c r="E147" i="22" s="1"/>
  <c r="E98" i="4"/>
  <c r="O67" i="4"/>
  <c r="P64" i="4" s="1"/>
  <c r="O70" i="4"/>
  <c r="E38" i="2"/>
  <c r="E13" i="1"/>
  <c r="H40" i="44" l="1"/>
  <c r="E109" i="22"/>
  <c r="L153" i="22"/>
  <c r="L154" i="22" s="1"/>
  <c r="L155" i="22" s="1"/>
  <c r="M151" i="22" s="1"/>
  <c r="M153" i="22" s="1"/>
  <c r="M154" i="22" s="1"/>
  <c r="M155" i="22" s="1"/>
  <c r="N151" i="22" s="1"/>
  <c r="N153" i="22" s="1"/>
  <c r="N154" i="22" s="1"/>
  <c r="N155" i="22" s="1"/>
  <c r="L174" i="22"/>
  <c r="L175" i="22" s="1"/>
  <c r="L176" i="22" s="1"/>
  <c r="M172" i="22" s="1"/>
  <c r="M174" i="22" s="1"/>
  <c r="M175" i="22" s="1"/>
  <c r="M176" i="22" s="1"/>
  <c r="N172" i="22" s="1"/>
  <c r="N174" i="22" s="1"/>
  <c r="N175" i="22" s="1"/>
  <c r="N176" i="22" s="1"/>
  <c r="E26" i="22"/>
  <c r="E27" i="22" s="1"/>
  <c r="E28" i="22" s="1"/>
  <c r="E29" i="22" s="1"/>
  <c r="F23" i="22"/>
  <c r="F25" i="22" s="1"/>
  <c r="E126" i="22"/>
  <c r="E127" i="22" s="1"/>
  <c r="F123" i="22" s="1"/>
  <c r="F125" i="22" s="1"/>
  <c r="F126" i="22" s="1"/>
  <c r="F127" i="22" s="1"/>
  <c r="G123" i="22" s="1"/>
  <c r="G125" i="22" s="1"/>
  <c r="G126" i="22" s="1"/>
  <c r="G127" i="22" s="1"/>
  <c r="H123" i="22" s="1"/>
  <c r="E187" i="22"/>
  <c r="E101" i="22"/>
  <c r="E110" i="22"/>
  <c r="F98" i="22"/>
  <c r="D22" i="44"/>
  <c r="D23" i="44" s="1"/>
  <c r="D18" i="8"/>
  <c r="G60" i="22"/>
  <c r="G62" i="22" s="1"/>
  <c r="F63" i="22"/>
  <c r="F64" i="22" s="1"/>
  <c r="F65" i="22" s="1"/>
  <c r="F66" i="22" s="1"/>
  <c r="E148" i="22"/>
  <c r="F144" i="22" s="1"/>
  <c r="F146" i="22" s="1"/>
  <c r="F147" i="22" s="1"/>
  <c r="F148" i="22" s="1"/>
  <c r="G144" i="22" s="1"/>
  <c r="E182" i="22"/>
  <c r="E188" i="22"/>
  <c r="G50" i="22"/>
  <c r="G52" i="22" s="1"/>
  <c r="F53" i="22"/>
  <c r="F54" i="22" s="1"/>
  <c r="F55" i="22" s="1"/>
  <c r="F56" i="22" s="1"/>
  <c r="F91" i="22"/>
  <c r="F92" i="22" s="1"/>
  <c r="F93" i="22" s="1"/>
  <c r="F94" i="22" s="1"/>
  <c r="G88" i="22"/>
  <c r="G90" i="22" s="1"/>
  <c r="P67" i="4"/>
  <c r="Q64" i="4" s="1"/>
  <c r="J31" i="4"/>
  <c r="E99" i="4"/>
  <c r="E34" i="4"/>
  <c r="O72" i="4"/>
  <c r="E189" i="22" l="1"/>
  <c r="E194" i="22" s="1"/>
  <c r="D53" i="26" s="1"/>
  <c r="H125" i="22"/>
  <c r="H126" i="22" s="1"/>
  <c r="H127" i="22" s="1"/>
  <c r="I123" i="22" s="1"/>
  <c r="I125" i="22" s="1"/>
  <c r="I126" i="22" s="1"/>
  <c r="I127" i="22" s="1"/>
  <c r="J123" i="22" s="1"/>
  <c r="J125" i="22" s="1"/>
  <c r="J126" i="22" s="1"/>
  <c r="J127" i="22" s="1"/>
  <c r="K123" i="22" s="1"/>
  <c r="K125" i="22" s="1"/>
  <c r="K126" i="22" s="1"/>
  <c r="K127" i="22" s="1"/>
  <c r="L123" i="22" s="1"/>
  <c r="L125" i="22" s="1"/>
  <c r="L126" i="22" s="1"/>
  <c r="L127" i="22" s="1"/>
  <c r="M123" i="22" s="1"/>
  <c r="M125" i="22" s="1"/>
  <c r="M126" i="22" s="1"/>
  <c r="M127" i="22" s="1"/>
  <c r="N123" i="22" s="1"/>
  <c r="N125" i="22" s="1"/>
  <c r="N126" i="22" s="1"/>
  <c r="N127" i="22" s="1"/>
  <c r="F108" i="22"/>
  <c r="F100" i="22"/>
  <c r="E102" i="22"/>
  <c r="E111" i="22"/>
  <c r="D20" i="9"/>
  <c r="E183" i="22"/>
  <c r="G91" i="22"/>
  <c r="G92" i="22" s="1"/>
  <c r="G93" i="22" s="1"/>
  <c r="G94" i="22" s="1"/>
  <c r="H88" i="22"/>
  <c r="H90" i="22" s="1"/>
  <c r="G146" i="22"/>
  <c r="G147" i="22" s="1"/>
  <c r="G148" i="22" s="1"/>
  <c r="H144" i="22" s="1"/>
  <c r="H146" i="22" s="1"/>
  <c r="H147" i="22" s="1"/>
  <c r="H148" i="22" s="1"/>
  <c r="I144" i="22" s="1"/>
  <c r="H50" i="22"/>
  <c r="H52" i="22" s="1"/>
  <c r="G53" i="22"/>
  <c r="G54" i="22" s="1"/>
  <c r="G55" i="22" s="1"/>
  <c r="G56" i="22" s="1"/>
  <c r="G23" i="22"/>
  <c r="G25" i="22" s="1"/>
  <c r="F26" i="22"/>
  <c r="F27" i="22" s="1"/>
  <c r="F28" i="22" s="1"/>
  <c r="F29" i="22" s="1"/>
  <c r="H60" i="22"/>
  <c r="H62" i="22" s="1"/>
  <c r="G63" i="22"/>
  <c r="G64" i="22" s="1"/>
  <c r="G65" i="22" s="1"/>
  <c r="G66" i="22" s="1"/>
  <c r="Q67" i="4"/>
  <c r="R64" i="4" s="1"/>
  <c r="E102" i="4"/>
  <c r="J34" i="4"/>
  <c r="E35" i="4"/>
  <c r="P70" i="4"/>
  <c r="E112" i="22" l="1"/>
  <c r="E193" i="22" s="1"/>
  <c r="E103" i="22"/>
  <c r="H23" i="22"/>
  <c r="H25" i="22" s="1"/>
  <c r="G26" i="22"/>
  <c r="G27" i="22" s="1"/>
  <c r="G28" i="22" s="1"/>
  <c r="G29" i="22" s="1"/>
  <c r="F110" i="22"/>
  <c r="E20" i="9" s="1"/>
  <c r="G98" i="22"/>
  <c r="F101" i="22"/>
  <c r="I50" i="22"/>
  <c r="I52" i="22" s="1"/>
  <c r="H53" i="22"/>
  <c r="H54" i="22" s="1"/>
  <c r="H55" i="22" s="1"/>
  <c r="H56" i="22" s="1"/>
  <c r="F179" i="22"/>
  <c r="E190" i="22"/>
  <c r="I146" i="22"/>
  <c r="I147" i="22" s="1"/>
  <c r="I148" i="22" s="1"/>
  <c r="J144" i="22" s="1"/>
  <c r="J146" i="22" s="1"/>
  <c r="J147" i="22" s="1"/>
  <c r="J148" i="22" s="1"/>
  <c r="K144" i="22" s="1"/>
  <c r="K146" i="22" s="1"/>
  <c r="K147" i="22" s="1"/>
  <c r="K148" i="22" s="1"/>
  <c r="L144" i="22" s="1"/>
  <c r="H63" i="22"/>
  <c r="H64" i="22" s="1"/>
  <c r="H65" i="22" s="1"/>
  <c r="H66" i="22" s="1"/>
  <c r="I60" i="22"/>
  <c r="I62" i="22" s="1"/>
  <c r="H91" i="22"/>
  <c r="H92" i="22" s="1"/>
  <c r="H93" i="22" s="1"/>
  <c r="H94" i="22" s="1"/>
  <c r="I88" i="22"/>
  <c r="I90" i="22" s="1"/>
  <c r="E103" i="4"/>
  <c r="D9" i="8"/>
  <c r="R67" i="4"/>
  <c r="S64" i="4" s="1"/>
  <c r="P72" i="4"/>
  <c r="Q70" i="4"/>
  <c r="Q72" i="4" s="1"/>
  <c r="L146" i="22" l="1"/>
  <c r="L147" i="22" s="1"/>
  <c r="L148" i="22" s="1"/>
  <c r="M144" i="22" s="1"/>
  <c r="M146" i="22" s="1"/>
  <c r="M147" i="22" s="1"/>
  <c r="M148" i="22" s="1"/>
  <c r="N144" i="22" s="1"/>
  <c r="N146" i="22" s="1"/>
  <c r="N147" i="22" s="1"/>
  <c r="N148" i="22" s="1"/>
  <c r="G100" i="22"/>
  <c r="G108" i="22"/>
  <c r="I91" i="22"/>
  <c r="I92" i="22" s="1"/>
  <c r="I93" i="22" s="1"/>
  <c r="I94" i="22" s="1"/>
  <c r="J88" i="22"/>
  <c r="J90" i="22" s="1"/>
  <c r="F181" i="22"/>
  <c r="F186" i="22"/>
  <c r="H26" i="22"/>
  <c r="H27" i="22" s="1"/>
  <c r="H28" i="22" s="1"/>
  <c r="H29" i="22" s="1"/>
  <c r="I23" i="22"/>
  <c r="I25" i="22" s="1"/>
  <c r="I53" i="22"/>
  <c r="I54" i="22" s="1"/>
  <c r="I55" i="22" s="1"/>
  <c r="I56" i="22" s="1"/>
  <c r="J50" i="22"/>
  <c r="J52" i="22" s="1"/>
  <c r="D33" i="26"/>
  <c r="D52" i="26"/>
  <c r="E104" i="22"/>
  <c r="E114" i="22" s="1"/>
  <c r="E115" i="22" s="1"/>
  <c r="E113" i="22"/>
  <c r="D21" i="9" s="1"/>
  <c r="D22" i="9" s="1"/>
  <c r="D27" i="33" s="1"/>
  <c r="J60" i="22"/>
  <c r="J62" i="22" s="1"/>
  <c r="I63" i="22"/>
  <c r="I64" i="22" s="1"/>
  <c r="I65" i="22" s="1"/>
  <c r="I66" i="22" s="1"/>
  <c r="F102" i="22"/>
  <c r="F111" i="22"/>
  <c r="D7" i="9"/>
  <c r="D21" i="33" s="1"/>
  <c r="S67" i="4"/>
  <c r="T64" i="4" s="1"/>
  <c r="R70" i="4"/>
  <c r="D32" i="33" l="1"/>
  <c r="D33" i="33" s="1"/>
  <c r="D34" i="33"/>
  <c r="D38" i="1" s="1"/>
  <c r="D65" i="44"/>
  <c r="D9" i="33"/>
  <c r="G110" i="22"/>
  <c r="F20" i="9" s="1"/>
  <c r="H98" i="22"/>
  <c r="G101" i="22"/>
  <c r="F103" i="22"/>
  <c r="F112" i="22"/>
  <c r="F193" i="22" s="1"/>
  <c r="D6" i="8"/>
  <c r="D26" i="44"/>
  <c r="D7" i="44"/>
  <c r="D34" i="26"/>
  <c r="D10" i="33" s="1"/>
  <c r="F182" i="22"/>
  <c r="F188" i="22"/>
  <c r="J53" i="22"/>
  <c r="J54" i="22" s="1"/>
  <c r="J55" i="22" s="1"/>
  <c r="J56" i="22" s="1"/>
  <c r="K50" i="22"/>
  <c r="K52" i="22" s="1"/>
  <c r="J91" i="22"/>
  <c r="J92" i="22" s="1"/>
  <c r="J93" i="22" s="1"/>
  <c r="J94" i="22" s="1"/>
  <c r="K88" i="22"/>
  <c r="K90" i="22" s="1"/>
  <c r="K60" i="22"/>
  <c r="K62" i="22" s="1"/>
  <c r="J63" i="22"/>
  <c r="J64" i="22" s="1"/>
  <c r="J65" i="22" s="1"/>
  <c r="J66" i="22" s="1"/>
  <c r="J23" i="22"/>
  <c r="J25" i="22" s="1"/>
  <c r="I26" i="22"/>
  <c r="I27" i="22" s="1"/>
  <c r="I28" i="22" s="1"/>
  <c r="I29" i="22" s="1"/>
  <c r="E7" i="9"/>
  <c r="E21" i="33" s="1"/>
  <c r="R72" i="4"/>
  <c r="T67" i="4"/>
  <c r="U64" i="4" s="1"/>
  <c r="T70" i="4"/>
  <c r="T72" i="4" s="1"/>
  <c r="S70" i="4"/>
  <c r="S72" i="4" s="1"/>
  <c r="G102" i="22" l="1"/>
  <c r="G111" i="22"/>
  <c r="L60" i="22"/>
  <c r="L62" i="22" s="1"/>
  <c r="K63" i="22"/>
  <c r="K64" i="22" s="1"/>
  <c r="K65" i="22" s="1"/>
  <c r="K66" i="22" s="1"/>
  <c r="F183" i="22"/>
  <c r="F189" i="22"/>
  <c r="F194" i="22" s="1"/>
  <c r="E53" i="26" s="1"/>
  <c r="H100" i="22"/>
  <c r="H108" i="22"/>
  <c r="K91" i="22"/>
  <c r="K92" i="22" s="1"/>
  <c r="K93" i="22" s="1"/>
  <c r="K94" i="22" s="1"/>
  <c r="L88" i="22"/>
  <c r="L90" i="22" s="1"/>
  <c r="K23" i="22"/>
  <c r="K25" i="22" s="1"/>
  <c r="J26" i="22"/>
  <c r="J27" i="22" s="1"/>
  <c r="J28" i="22" s="1"/>
  <c r="J29" i="22" s="1"/>
  <c r="K53" i="22"/>
  <c r="K54" i="22" s="1"/>
  <c r="K55" i="22" s="1"/>
  <c r="K56" i="22" s="1"/>
  <c r="L50" i="22"/>
  <c r="L52" i="22" s="1"/>
  <c r="E33" i="26"/>
  <c r="E52" i="26"/>
  <c r="F104" i="22"/>
  <c r="F114" i="22" s="1"/>
  <c r="F115" i="22" s="1"/>
  <c r="F113" i="22"/>
  <c r="E21" i="9" s="1"/>
  <c r="E22" i="9" s="1"/>
  <c r="E27" i="33" s="1"/>
  <c r="F7" i="9"/>
  <c r="F21" i="33" s="1"/>
  <c r="U67" i="4"/>
  <c r="V64" i="4" s="1"/>
  <c r="U70" i="4"/>
  <c r="U72" i="4" s="1"/>
  <c r="E34" i="33" l="1"/>
  <c r="E38" i="1" s="1"/>
  <c r="E32" i="33"/>
  <c r="E33" i="33" s="1"/>
  <c r="E65" i="44"/>
  <c r="E9" i="33"/>
  <c r="H110" i="22"/>
  <c r="G20" i="9" s="1"/>
  <c r="H101" i="22"/>
  <c r="I98" i="22"/>
  <c r="E6" i="8"/>
  <c r="E7" i="44"/>
  <c r="E26" i="44"/>
  <c r="E34" i="26"/>
  <c r="E10" i="33" s="1"/>
  <c r="F190" i="22"/>
  <c r="G179" i="22"/>
  <c r="K26" i="22"/>
  <c r="K27" i="22" s="1"/>
  <c r="K28" i="22" s="1"/>
  <c r="K29" i="22" s="1"/>
  <c r="L23" i="22"/>
  <c r="L25" i="22" s="1"/>
  <c r="M60" i="22"/>
  <c r="M62" i="22" s="1"/>
  <c r="L63" i="22"/>
  <c r="L64" i="22" s="1"/>
  <c r="L65" i="22" s="1"/>
  <c r="L66" i="22" s="1"/>
  <c r="L91" i="22"/>
  <c r="M88" i="22"/>
  <c r="M90" i="22" s="1"/>
  <c r="M50" i="22"/>
  <c r="M52" i="22" s="1"/>
  <c r="L53" i="22"/>
  <c r="L54" i="22" s="1"/>
  <c r="L55" i="22" s="1"/>
  <c r="L56" i="22" s="1"/>
  <c r="G103" i="22"/>
  <c r="G112" i="22"/>
  <c r="G193" i="22" s="1"/>
  <c r="G7" i="9"/>
  <c r="G21" i="33" s="1"/>
  <c r="V67" i="4"/>
  <c r="W64" i="4" s="1"/>
  <c r="V70" i="4"/>
  <c r="V72" i="4" s="1"/>
  <c r="M63" i="22" l="1"/>
  <c r="M64" i="22" s="1"/>
  <c r="M65" i="22" s="1"/>
  <c r="M66" i="22" s="1"/>
  <c r="N60" i="22"/>
  <c r="N62" i="22" s="1"/>
  <c r="N63" i="22" s="1"/>
  <c r="N64" i="22" s="1"/>
  <c r="M53" i="22"/>
  <c r="M54" i="22" s="1"/>
  <c r="M55" i="22" s="1"/>
  <c r="M56" i="22" s="1"/>
  <c r="N50" i="22"/>
  <c r="N52" i="22" s="1"/>
  <c r="N53" i="22" s="1"/>
  <c r="N54" i="22" s="1"/>
  <c r="L92" i="22"/>
  <c r="L93" i="22" s="1"/>
  <c r="M23" i="22"/>
  <c r="M25" i="22" s="1"/>
  <c r="L26" i="22"/>
  <c r="L27" i="22" s="1"/>
  <c r="L28" i="22" s="1"/>
  <c r="L29" i="22" s="1"/>
  <c r="I100" i="22"/>
  <c r="I108" i="22"/>
  <c r="N88" i="22"/>
  <c r="N90" i="22" s="1"/>
  <c r="N91" i="22" s="1"/>
  <c r="M91" i="22"/>
  <c r="G181" i="22"/>
  <c r="G186" i="22"/>
  <c r="H102" i="22"/>
  <c r="H111" i="22"/>
  <c r="F52" i="26"/>
  <c r="F33" i="26"/>
  <c r="G104" i="22"/>
  <c r="G114" i="22" s="1"/>
  <c r="G115" i="22" s="1"/>
  <c r="G113" i="22"/>
  <c r="F21" i="9" s="1"/>
  <c r="F22" i="9" s="1"/>
  <c r="F27" i="33" s="1"/>
  <c r="H7" i="9"/>
  <c r="H21" i="33" s="1"/>
  <c r="W67" i="4"/>
  <c r="X64" i="4" s="1"/>
  <c r="W70" i="4"/>
  <c r="W72" i="4" s="1"/>
  <c r="F34" i="33" l="1"/>
  <c r="F38" i="1" s="1"/>
  <c r="F32" i="33"/>
  <c r="F33" i="33" s="1"/>
  <c r="F65" i="44"/>
  <c r="F9" i="33"/>
  <c r="N55" i="22"/>
  <c r="N56" i="22" s="1"/>
  <c r="N65" i="22"/>
  <c r="N66" i="22" s="1"/>
  <c r="L94" i="22"/>
  <c r="M92" i="22" s="1"/>
  <c r="M93" i="22" s="1"/>
  <c r="M94" i="22" s="1"/>
  <c r="N92" i="22" s="1"/>
  <c r="N93" i="22" s="1"/>
  <c r="N94" i="22" s="1"/>
  <c r="G182" i="22"/>
  <c r="G188" i="22"/>
  <c r="I110" i="22"/>
  <c r="H20" i="9" s="1"/>
  <c r="J98" i="22"/>
  <c r="I101" i="22"/>
  <c r="N23" i="22"/>
  <c r="N25" i="22" s="1"/>
  <c r="N26" i="22" s="1"/>
  <c r="N27" i="22" s="1"/>
  <c r="M26" i="22"/>
  <c r="M27" i="22" s="1"/>
  <c r="M28" i="22" s="1"/>
  <c r="M29" i="22" s="1"/>
  <c r="F26" i="44"/>
  <c r="F6" i="8"/>
  <c r="F7" i="44"/>
  <c r="F34" i="26"/>
  <c r="F10" i="33" s="1"/>
  <c r="H103" i="22"/>
  <c r="H112" i="22"/>
  <c r="H193" i="22" s="1"/>
  <c r="I7" i="9"/>
  <c r="I21" i="33" s="1"/>
  <c r="X67" i="4"/>
  <c r="Y64" i="4" s="1"/>
  <c r="N28" i="22" l="1"/>
  <c r="N29" i="22" s="1"/>
  <c r="H113" i="22"/>
  <c r="G21" i="9" s="1"/>
  <c r="G22" i="9" s="1"/>
  <c r="G27" i="33" s="1"/>
  <c r="H104" i="22"/>
  <c r="H114" i="22" s="1"/>
  <c r="H115" i="22" s="1"/>
  <c r="I102" i="22"/>
  <c r="I111" i="22"/>
  <c r="G183" i="22"/>
  <c r="G189" i="22"/>
  <c r="G194" i="22" s="1"/>
  <c r="F53" i="26" s="1"/>
  <c r="J100" i="22"/>
  <c r="J108" i="22"/>
  <c r="G52" i="26"/>
  <c r="G33" i="26"/>
  <c r="J7" i="9"/>
  <c r="J21" i="33" s="1"/>
  <c r="Y67" i="4"/>
  <c r="Z64" i="4" s="1"/>
  <c r="X70" i="4"/>
  <c r="X72" i="4" s="1"/>
  <c r="G32" i="33" l="1"/>
  <c r="G33" i="33" s="1"/>
  <c r="G34" i="33"/>
  <c r="G38" i="1" s="1"/>
  <c r="G65" i="44"/>
  <c r="G9" i="33"/>
  <c r="I103" i="22"/>
  <c r="I112" i="22"/>
  <c r="I193" i="22" s="1"/>
  <c r="J110" i="22"/>
  <c r="I20" i="9" s="1"/>
  <c r="J101" i="22"/>
  <c r="K98" i="22"/>
  <c r="H179" i="22"/>
  <c r="G190" i="22"/>
  <c r="G7" i="44"/>
  <c r="G26" i="44"/>
  <c r="G6" i="8"/>
  <c r="G34" i="26"/>
  <c r="G10" i="33" s="1"/>
  <c r="K7" i="9"/>
  <c r="K21" i="33" s="1"/>
  <c r="Z67" i="4"/>
  <c r="AA64" i="4" s="1"/>
  <c r="Y70" i="4"/>
  <c r="H186" i="22" l="1"/>
  <c r="H181" i="22"/>
  <c r="H33" i="26"/>
  <c r="H52" i="26"/>
  <c r="K100" i="22"/>
  <c r="K108" i="22"/>
  <c r="J102" i="22"/>
  <c r="J111" i="22"/>
  <c r="I113" i="22"/>
  <c r="H21" i="9" s="1"/>
  <c r="H22" i="9" s="1"/>
  <c r="H27" i="33" s="1"/>
  <c r="I104" i="22"/>
  <c r="I114" i="22" s="1"/>
  <c r="I115" i="22" s="1"/>
  <c r="L7" i="9"/>
  <c r="L21" i="33" s="1"/>
  <c r="AA70" i="4"/>
  <c r="AA72" i="4" s="1"/>
  <c r="AA67" i="4"/>
  <c r="AB64" i="4" s="1"/>
  <c r="Y72" i="4"/>
  <c r="Z70" i="4"/>
  <c r="Z72" i="4" s="1"/>
  <c r="H34" i="33" l="1"/>
  <c r="H38" i="1" s="1"/>
  <c r="H32" i="33"/>
  <c r="H33" i="33" s="1"/>
  <c r="H65" i="44"/>
  <c r="H9" i="33"/>
  <c r="J103" i="22"/>
  <c r="J112" i="22"/>
  <c r="J193" i="22" s="1"/>
  <c r="H182" i="22"/>
  <c r="H188" i="22"/>
  <c r="H7" i="44"/>
  <c r="H26" i="44"/>
  <c r="H6" i="8"/>
  <c r="H34" i="26"/>
  <c r="H10" i="33" s="1"/>
  <c r="K110" i="22"/>
  <c r="J20" i="9" s="1"/>
  <c r="K101" i="22"/>
  <c r="L98" i="22"/>
  <c r="M7" i="9"/>
  <c r="M21" i="33" s="1"/>
  <c r="AB67" i="4"/>
  <c r="AC64" i="4" s="1"/>
  <c r="AB70" i="4"/>
  <c r="K102" i="22" l="1"/>
  <c r="K111" i="22"/>
  <c r="H183" i="22"/>
  <c r="H189" i="22"/>
  <c r="H194" i="22" s="1"/>
  <c r="G53" i="26" s="1"/>
  <c r="L100" i="22"/>
  <c r="L108" i="22"/>
  <c r="I52" i="26"/>
  <c r="I33" i="26"/>
  <c r="J113" i="22"/>
  <c r="I21" i="9" s="1"/>
  <c r="I22" i="9" s="1"/>
  <c r="I27" i="33" s="1"/>
  <c r="J104" i="22"/>
  <c r="J114" i="22" s="1"/>
  <c r="J115" i="22" s="1"/>
  <c r="AB72" i="4"/>
  <c r="AC67" i="4"/>
  <c r="AD64" i="4" s="1"/>
  <c r="AC70" i="4"/>
  <c r="AC72" i="4" s="1"/>
  <c r="I32" i="33" l="1"/>
  <c r="I33" i="33" s="1"/>
  <c r="I34" i="33"/>
  <c r="I38" i="1" s="1"/>
  <c r="I65" i="44"/>
  <c r="I9" i="33"/>
  <c r="I179" i="22"/>
  <c r="H190" i="22"/>
  <c r="L110" i="22"/>
  <c r="K20" i="9" s="1"/>
  <c r="M98" i="22"/>
  <c r="L101" i="22"/>
  <c r="I7" i="44"/>
  <c r="I26" i="44"/>
  <c r="I6" i="8"/>
  <c r="I34" i="26"/>
  <c r="I10" i="33" s="1"/>
  <c r="K103" i="22"/>
  <c r="K112" i="22"/>
  <c r="K193" i="22" s="1"/>
  <c r="AD67" i="4"/>
  <c r="AE64" i="4" s="1"/>
  <c r="K113" i="22" l="1"/>
  <c r="J21" i="9" s="1"/>
  <c r="J22" i="9" s="1"/>
  <c r="J27" i="33" s="1"/>
  <c r="K104" i="22"/>
  <c r="K114" i="22" s="1"/>
  <c r="K115" i="22" s="1"/>
  <c r="J33" i="26"/>
  <c r="J52" i="26"/>
  <c r="L102" i="22"/>
  <c r="L111" i="22"/>
  <c r="I186" i="22"/>
  <c r="I181" i="22"/>
  <c r="M100" i="22"/>
  <c r="M108" i="22"/>
  <c r="AD70" i="4"/>
  <c r="AE67" i="4"/>
  <c r="AF64" i="4" s="1"/>
  <c r="AE70" i="4"/>
  <c r="AE72" i="4" s="1"/>
  <c r="J32" i="33" l="1"/>
  <c r="J33" i="33" s="1"/>
  <c r="J34" i="33"/>
  <c r="J38" i="1" s="1"/>
  <c r="J65" i="44"/>
  <c r="J9" i="33"/>
  <c r="M110" i="22"/>
  <c r="L20" i="9" s="1"/>
  <c r="M101" i="22"/>
  <c r="N98" i="22"/>
  <c r="I182" i="22"/>
  <c r="I188" i="22"/>
  <c r="J7" i="44"/>
  <c r="J26" i="44"/>
  <c r="J6" i="8"/>
  <c r="J34" i="26"/>
  <c r="J10" i="33" s="1"/>
  <c r="L103" i="22"/>
  <c r="L112" i="22"/>
  <c r="L193" i="22" s="1"/>
  <c r="AF67" i="4"/>
  <c r="AG64" i="4" s="1"/>
  <c r="AD72" i="4"/>
  <c r="I183" i="22" l="1"/>
  <c r="I189" i="22"/>
  <c r="I194" i="22" s="1"/>
  <c r="H53" i="26" s="1"/>
  <c r="N100" i="22"/>
  <c r="N108" i="22"/>
  <c r="K33" i="26"/>
  <c r="K52" i="26"/>
  <c r="L113" i="22"/>
  <c r="K21" i="9" s="1"/>
  <c r="K22" i="9" s="1"/>
  <c r="K27" i="33" s="1"/>
  <c r="L104" i="22"/>
  <c r="L114" i="22" s="1"/>
  <c r="L115" i="22" s="1"/>
  <c r="M102" i="22"/>
  <c r="M111" i="22"/>
  <c r="AG67" i="4"/>
  <c r="AH64" i="4" s="1"/>
  <c r="AF70" i="4"/>
  <c r="K32" i="33" l="1"/>
  <c r="K33" i="33" s="1"/>
  <c r="K34" i="33"/>
  <c r="K38" i="1" s="1"/>
  <c r="K65" i="44"/>
  <c r="K9" i="33"/>
  <c r="N110" i="22"/>
  <c r="M20" i="9" s="1"/>
  <c r="N101" i="22"/>
  <c r="J179" i="22"/>
  <c r="I190" i="22"/>
  <c r="M103" i="22"/>
  <c r="M112" i="22"/>
  <c r="M193" i="22" s="1"/>
  <c r="K6" i="8"/>
  <c r="K7" i="44"/>
  <c r="K26" i="44"/>
  <c r="K34" i="26"/>
  <c r="K10" i="33" s="1"/>
  <c r="AF72" i="4"/>
  <c r="AH70" i="4"/>
  <c r="AH72" i="4" s="1"/>
  <c r="AH67" i="4"/>
  <c r="AI64" i="4" s="1"/>
  <c r="AG70" i="4"/>
  <c r="AG72" i="4" s="1"/>
  <c r="J186" i="22" l="1"/>
  <c r="J181" i="22"/>
  <c r="L33" i="26"/>
  <c r="L52" i="26"/>
  <c r="N102" i="22"/>
  <c r="N111" i="22"/>
  <c r="M113" i="22"/>
  <c r="L21" i="9" s="1"/>
  <c r="L22" i="9" s="1"/>
  <c r="L27" i="33" s="1"/>
  <c r="M104" i="22"/>
  <c r="M114" i="22" s="1"/>
  <c r="M115" i="22" s="1"/>
  <c r="AI70" i="4"/>
  <c r="AI72" i="4" s="1"/>
  <c r="AI67" i="4"/>
  <c r="AJ64" i="4" s="1"/>
  <c r="L32" i="33" l="1"/>
  <c r="L33" i="33" s="1"/>
  <c r="L34" i="33"/>
  <c r="L38" i="1" s="1"/>
  <c r="L65" i="44"/>
  <c r="L9" i="33"/>
  <c r="N103" i="22"/>
  <c r="N112" i="22"/>
  <c r="N193" i="22" s="1"/>
  <c r="L6" i="8"/>
  <c r="L26" i="44"/>
  <c r="L7" i="44"/>
  <c r="L34" i="26"/>
  <c r="L10" i="33" s="1"/>
  <c r="J182" i="22"/>
  <c r="J188" i="22"/>
  <c r="AJ67" i="4"/>
  <c r="AK64" i="4" s="1"/>
  <c r="AJ70" i="4"/>
  <c r="AJ72" i="4" s="1"/>
  <c r="J189" i="22" l="1"/>
  <c r="J194" i="22" s="1"/>
  <c r="I53" i="26" s="1"/>
  <c r="J183" i="22"/>
  <c r="M33" i="26"/>
  <c r="M52" i="26"/>
  <c r="N104" i="22"/>
  <c r="N114" i="22" s="1"/>
  <c r="N115" i="22" s="1"/>
  <c r="N113" i="22"/>
  <c r="M21" i="9" s="1"/>
  <c r="M22" i="9" s="1"/>
  <c r="AK67" i="4"/>
  <c r="AL64" i="4" s="1"/>
  <c r="AK70" i="4"/>
  <c r="M29" i="44" l="1"/>
  <c r="M27" i="33"/>
  <c r="M65" i="44"/>
  <c r="M9" i="33"/>
  <c r="M7" i="44"/>
  <c r="M6" i="8"/>
  <c r="M26" i="44"/>
  <c r="M34" i="26"/>
  <c r="M10" i="33" s="1"/>
  <c r="K179" i="22"/>
  <c r="J190" i="22"/>
  <c r="AK72" i="4"/>
  <c r="AL67" i="4"/>
  <c r="AM64" i="4" s="1"/>
  <c r="AL70" i="4"/>
  <c r="AL72" i="4" s="1"/>
  <c r="M32" i="33" l="1"/>
  <c r="M33" i="33" s="1"/>
  <c r="M34" i="33"/>
  <c r="M38" i="1" s="1"/>
  <c r="K186" i="22"/>
  <c r="K181" i="22"/>
  <c r="AM67" i="4"/>
  <c r="AN64" i="4" s="1"/>
  <c r="AM70" i="4"/>
  <c r="K182" i="22" l="1"/>
  <c r="K188" i="22"/>
  <c r="AM72" i="4"/>
  <c r="AN67" i="4"/>
  <c r="AO64" i="4" s="1"/>
  <c r="K189" i="22" l="1"/>
  <c r="K194" i="22" s="1"/>
  <c r="J53" i="26" s="1"/>
  <c r="K183" i="22"/>
  <c r="AN70" i="4"/>
  <c r="AO67" i="4"/>
  <c r="AP64" i="4" s="1"/>
  <c r="L179" i="22" l="1"/>
  <c r="K190" i="22"/>
  <c r="AP67" i="4"/>
  <c r="AQ64" i="4" s="1"/>
  <c r="AO70" i="4"/>
  <c r="AO72" i="4" s="1"/>
  <c r="AN72" i="4"/>
  <c r="L186" i="22" l="1"/>
  <c r="L181" i="22"/>
  <c r="AQ67" i="4"/>
  <c r="AR64" i="4" s="1"/>
  <c r="AP70" i="4"/>
  <c r="L182" i="22" l="1"/>
  <c r="L188" i="22"/>
  <c r="AP72" i="4"/>
  <c r="AR67" i="4"/>
  <c r="AS64" i="4" s="1"/>
  <c r="AQ70" i="4"/>
  <c r="AQ72" i="4" s="1"/>
  <c r="L189" i="22" l="1"/>
  <c r="L194" i="22" s="1"/>
  <c r="K53" i="26" s="1"/>
  <c r="L183" i="22"/>
  <c r="AR70" i="4"/>
  <c r="AS67" i="4"/>
  <c r="AT64" i="4" s="1"/>
  <c r="AS70" i="4"/>
  <c r="AS72" i="4" s="1"/>
  <c r="M179" i="22" l="1"/>
  <c r="L190" i="22"/>
  <c r="AT67" i="4"/>
  <c r="AU64" i="4" s="1"/>
  <c r="AT70" i="4"/>
  <c r="AT72" i="4" s="1"/>
  <c r="AR72" i="4"/>
  <c r="M186" i="22" l="1"/>
  <c r="M181" i="22"/>
  <c r="AU67" i="4"/>
  <c r="AV64" i="4" s="1"/>
  <c r="AU70" i="4"/>
  <c r="AU72" i="4" s="1"/>
  <c r="M182" i="22" l="1"/>
  <c r="M188" i="22"/>
  <c r="AV67" i="4"/>
  <c r="AW64" i="4" s="1"/>
  <c r="M183" i="22" l="1"/>
  <c r="M189" i="22"/>
  <c r="M194" i="22" s="1"/>
  <c r="L53" i="26" s="1"/>
  <c r="AW67" i="4"/>
  <c r="AX64" i="4" s="1"/>
  <c r="AV70" i="4"/>
  <c r="AV72" i="4" s="1"/>
  <c r="N179" i="22" l="1"/>
  <c r="M190" i="22"/>
  <c r="AX67" i="4"/>
  <c r="AY64" i="4" s="1"/>
  <c r="AW70" i="4"/>
  <c r="N186" i="22" l="1"/>
  <c r="N181" i="22"/>
  <c r="AY67" i="4"/>
  <c r="AZ64" i="4" s="1"/>
  <c r="AW72" i="4"/>
  <c r="AX70" i="4"/>
  <c r="AX72" i="4" s="1"/>
  <c r="N182" i="22" l="1"/>
  <c r="N188" i="22"/>
  <c r="AZ67" i="4"/>
  <c r="BA64" i="4" s="1"/>
  <c r="AY70" i="4"/>
  <c r="N183" i="22" l="1"/>
  <c r="N190" i="22" s="1"/>
  <c r="N189" i="22"/>
  <c r="N194" i="22" s="1"/>
  <c r="M53" i="26" s="1"/>
  <c r="BA67" i="4"/>
  <c r="BB64" i="4" s="1"/>
  <c r="BA70" i="4"/>
  <c r="BA72" i="4" s="1"/>
  <c r="AY72" i="4"/>
  <c r="AZ70" i="4"/>
  <c r="AZ72" i="4" s="1"/>
  <c r="BB67" i="4" l="1"/>
  <c r="BC64" i="4" s="1"/>
  <c r="BB70" i="4"/>
  <c r="BB72" i="4" l="1"/>
  <c r="BC67" i="4"/>
  <c r="BD64" i="4" s="1"/>
  <c r="BC70" i="4"/>
  <c r="BC72" i="4" s="1"/>
  <c r="BD67" i="4" l="1"/>
  <c r="BE64" i="4" s="1"/>
  <c r="BE67" i="4" l="1"/>
  <c r="BF64" i="4" s="1"/>
  <c r="BD70" i="4"/>
  <c r="BD72" i="4" l="1"/>
  <c r="BF67" i="4"/>
  <c r="BG64" i="4" s="1"/>
  <c r="BE70" i="4"/>
  <c r="BE72" i="4" s="1"/>
  <c r="BG67" i="4" l="1"/>
  <c r="BH64" i="4" s="1"/>
  <c r="BG70" i="4"/>
  <c r="BG72" i="4" s="1"/>
  <c r="BF70" i="4"/>
  <c r="BF72" i="4" l="1"/>
  <c r="BH67" i="4"/>
  <c r="BI64" i="4" s="1"/>
  <c r="BH70" i="4"/>
  <c r="BH72" i="4" s="1"/>
  <c r="I113" i="4" l="1"/>
  <c r="BI67" i="4"/>
  <c r="BJ64" i="4" s="1"/>
  <c r="BI70" i="4"/>
  <c r="BI72" i="4" l="1"/>
  <c r="BJ67" i="4"/>
  <c r="BK64" i="4" s="1"/>
  <c r="BJ70" i="4"/>
  <c r="BJ72" i="4" s="1"/>
  <c r="BK67" i="4" l="1"/>
  <c r="BL64" i="4" s="1"/>
  <c r="BK70" i="4"/>
  <c r="BK72" i="4" l="1"/>
  <c r="BL67" i="4"/>
  <c r="BM64" i="4" s="1"/>
  <c r="BM70" i="4" l="1"/>
  <c r="BM72" i="4" s="1"/>
  <c r="BM67" i="4"/>
  <c r="BN64" i="4" s="1"/>
  <c r="BL70" i="4"/>
  <c r="BL72" i="4" l="1"/>
  <c r="BN67" i="4"/>
  <c r="BO64" i="4" s="1"/>
  <c r="BO67" i="4" l="1"/>
  <c r="BP64" i="4" s="1"/>
  <c r="BO70" i="4"/>
  <c r="BO72" i="4" s="1"/>
  <c r="BN70" i="4"/>
  <c r="BN72" i="4" l="1"/>
  <c r="BP67" i="4"/>
  <c r="BQ64" i="4" s="1"/>
  <c r="BP70" i="4"/>
  <c r="BP72" i="4" s="1"/>
  <c r="BQ67" i="4" l="1"/>
  <c r="BR64" i="4" s="1"/>
  <c r="BQ70" i="4" l="1"/>
  <c r="BR67" i="4"/>
  <c r="BS64" i="4" s="1"/>
  <c r="BR70" i="4"/>
  <c r="BR72" i="4" s="1"/>
  <c r="BS67" i="4" l="1"/>
  <c r="BT64" i="4" s="1"/>
  <c r="BQ72" i="4"/>
  <c r="BS70" i="4" l="1"/>
  <c r="BS72" i="4" s="1"/>
  <c r="BT67" i="4"/>
  <c r="BU64" i="4" s="1"/>
  <c r="BU67" i="4" l="1"/>
  <c r="BV64" i="4" s="1"/>
  <c r="BT70" i="4"/>
  <c r="BT72" i="4" s="1"/>
  <c r="BV67" i="4" l="1"/>
  <c r="BW64" i="4" s="1"/>
  <c r="BU70" i="4"/>
  <c r="BU72" i="4" l="1"/>
  <c r="BW67" i="4"/>
  <c r="BX64" i="4" s="1"/>
  <c r="BW70" i="4"/>
  <c r="BW72" i="4" s="1"/>
  <c r="BV70" i="4"/>
  <c r="BV72" i="4" s="1"/>
  <c r="BX67" i="4" l="1"/>
  <c r="BY64" i="4" s="1"/>
  <c r="BX70" i="4"/>
  <c r="BX72" i="4" l="1"/>
  <c r="BY67" i="4"/>
  <c r="BZ64" i="4" s="1"/>
  <c r="BY70" i="4" l="1"/>
  <c r="BZ67" i="4"/>
  <c r="CA64" i="4" s="1"/>
  <c r="CA67" i="4" l="1"/>
  <c r="CB64" i="4" s="1"/>
  <c r="CA70" i="4"/>
  <c r="CA72" i="4" s="1"/>
  <c r="BZ70" i="4"/>
  <c r="BZ72" i="4" s="1"/>
  <c r="BY72" i="4"/>
  <c r="CB67" i="4" l="1"/>
  <c r="CC64" i="4" s="1"/>
  <c r="CC67" i="4" l="1"/>
  <c r="CD64" i="4" s="1"/>
  <c r="CB70" i="4"/>
  <c r="CB72" i="4" l="1"/>
  <c r="CD67" i="4"/>
  <c r="CE64" i="4" s="1"/>
  <c r="CC70" i="4"/>
  <c r="CC72" i="4" s="1"/>
  <c r="CE67" i="4" l="1"/>
  <c r="CF64" i="4" s="1"/>
  <c r="CE70" i="4"/>
  <c r="CE72" i="4" s="1"/>
  <c r="CD70" i="4"/>
  <c r="CD72" i="4" l="1"/>
  <c r="CF67" i="4"/>
  <c r="CG64" i="4" s="1"/>
  <c r="CF70" i="4"/>
  <c r="CF72" i="4" s="1"/>
  <c r="K113" i="4" l="1"/>
  <c r="CG67" i="4"/>
  <c r="CH64" i="4" s="1"/>
  <c r="CG70" i="4"/>
  <c r="CG72" i="4" l="1"/>
  <c r="CH67" i="4"/>
  <c r="CI64" i="4" s="1"/>
  <c r="CH70" i="4"/>
  <c r="CH72" i="4" s="1"/>
  <c r="CI67" i="4" l="1"/>
  <c r="CJ64" i="4" s="1"/>
  <c r="CI70" i="4"/>
  <c r="CI72" i="4" l="1"/>
  <c r="CJ67" i="4"/>
  <c r="CK64" i="4" s="1"/>
  <c r="CJ70" i="4" l="1"/>
  <c r="CK67" i="4"/>
  <c r="CL64" i="4" s="1"/>
  <c r="CL70" i="4" l="1"/>
  <c r="CL72" i="4" s="1"/>
  <c r="CL67" i="4"/>
  <c r="CM64" i="4" s="1"/>
  <c r="CK70" i="4"/>
  <c r="CK72" i="4" s="1"/>
  <c r="CJ72" i="4"/>
  <c r="CM67" i="4" l="1"/>
  <c r="CN64" i="4" s="1"/>
  <c r="CM70" i="4"/>
  <c r="CM72" i="4" l="1"/>
  <c r="CN67" i="4"/>
  <c r="CO64" i="4" s="1"/>
  <c r="CN70" i="4"/>
  <c r="CN72" i="4" s="1"/>
  <c r="CO67" i="4" l="1"/>
  <c r="CP64" i="4" s="1"/>
  <c r="CO70" i="4"/>
  <c r="CO72" i="4" l="1"/>
  <c r="CP67" i="4"/>
  <c r="CQ64" i="4" s="1"/>
  <c r="CP70" i="4"/>
  <c r="CP72" i="4" s="1"/>
  <c r="CQ67" i="4" l="1"/>
  <c r="CR64" i="4" s="1"/>
  <c r="CQ70" i="4" l="1"/>
  <c r="CQ72" i="4" s="1"/>
  <c r="CR67" i="4"/>
  <c r="CS64" i="4" s="1"/>
  <c r="CS67" i="4" l="1"/>
  <c r="CT64" i="4" s="1"/>
  <c r="CR70" i="4"/>
  <c r="CR72" i="4" s="1"/>
  <c r="CT67" i="4" l="1"/>
  <c r="CU64" i="4" s="1"/>
  <c r="CS70" i="4"/>
  <c r="CU67" i="4" l="1"/>
  <c r="CV64" i="4" s="1"/>
  <c r="CU70" i="4"/>
  <c r="CU72" i="4" s="1"/>
  <c r="CS72" i="4"/>
  <c r="CT70" i="4"/>
  <c r="CT72" i="4" s="1"/>
  <c r="CV67" i="4" l="1"/>
  <c r="CW64" i="4" s="1"/>
  <c r="CV70" i="4"/>
  <c r="CV72" i="4" l="1"/>
  <c r="CW67" i="4"/>
  <c r="CX64" i="4" s="1"/>
  <c r="CW70" i="4"/>
  <c r="CW72" i="4" s="1"/>
  <c r="CX67" i="4" l="1"/>
  <c r="CY64" i="4" s="1"/>
  <c r="CX70" i="4" l="1"/>
  <c r="CY67" i="4"/>
  <c r="CZ64" i="4" s="1"/>
  <c r="CY70" i="4"/>
  <c r="CY72" i="4" s="1"/>
  <c r="CZ67" i="4" l="1"/>
  <c r="DA64" i="4" s="1"/>
  <c r="CX72" i="4"/>
  <c r="DA67" i="4" l="1"/>
  <c r="DB64" i="4" s="1"/>
  <c r="CZ70" i="4"/>
  <c r="CZ72" i="4" l="1"/>
  <c r="DB67" i="4"/>
  <c r="DC64" i="4" s="1"/>
  <c r="DA70" i="4"/>
  <c r="DA72" i="4" s="1"/>
  <c r="DC67" i="4" l="1"/>
  <c r="DD64" i="4" s="1"/>
  <c r="DC70" i="4"/>
  <c r="DC72" i="4" s="1"/>
  <c r="DB70" i="4"/>
  <c r="DB72" i="4" l="1"/>
  <c r="DD67" i="4"/>
  <c r="DE64" i="4" s="1"/>
  <c r="DD70" i="4"/>
  <c r="DD72" i="4" s="1"/>
  <c r="M113" i="4" l="1"/>
  <c r="DE67" i="4"/>
  <c r="DF64" i="4" s="1"/>
  <c r="DE70" i="4"/>
  <c r="DE72" i="4" l="1"/>
  <c r="DF67" i="4"/>
  <c r="DG64" i="4" s="1"/>
  <c r="DF70" i="4"/>
  <c r="DF72" i="4" s="1"/>
  <c r="DG67" i="4" l="1"/>
  <c r="DH64" i="4" s="1"/>
  <c r="DG70" i="4" l="1"/>
  <c r="DH67" i="4"/>
  <c r="DI64" i="4" s="1"/>
  <c r="DG72" i="4" l="1"/>
  <c r="DI67" i="4"/>
  <c r="DJ64" i="4" s="1"/>
  <c r="DH70" i="4"/>
  <c r="DH72" i="4" s="1"/>
  <c r="DJ67" i="4" l="1"/>
  <c r="DK64" i="4" s="1"/>
  <c r="DI70" i="4"/>
  <c r="DI72" i="4" l="1"/>
  <c r="DK67" i="4"/>
  <c r="DL64" i="4" s="1"/>
  <c r="DK70" i="4"/>
  <c r="DK72" i="4" s="1"/>
  <c r="DJ70" i="4"/>
  <c r="DJ72" i="4" s="1"/>
  <c r="DL67" i="4" l="1"/>
  <c r="DM64" i="4" s="1"/>
  <c r="DL70" i="4" l="1"/>
  <c r="DM67" i="4"/>
  <c r="DN64" i="4" s="1"/>
  <c r="DM70" i="4"/>
  <c r="DM72" i="4" s="1"/>
  <c r="DN67" i="4" l="1"/>
  <c r="DO64" i="4" s="1"/>
  <c r="DN70" i="4"/>
  <c r="DN72" i="4" s="1"/>
  <c r="DL72" i="4"/>
  <c r="DO67" i="4" l="1"/>
  <c r="DP64" i="4" s="1"/>
  <c r="DO70" i="4"/>
  <c r="DO72" i="4" l="1"/>
  <c r="DP67" i="4"/>
  <c r="DP70" i="4" s="1"/>
  <c r="DP72" i="4" l="1"/>
  <c r="F113" i="4"/>
  <c r="G113" i="4"/>
  <c r="H113" i="4"/>
  <c r="J113" i="4"/>
  <c r="L113" i="4"/>
  <c r="N113" i="4"/>
  <c r="C113" i="4" l="1"/>
  <c r="E115" i="4"/>
  <c r="D36" i="26" s="1"/>
  <c r="C72" i="4"/>
  <c r="F115" i="4"/>
  <c r="E36" i="26" s="1"/>
  <c r="G115" i="4"/>
  <c r="F36" i="26" s="1"/>
  <c r="H115" i="4"/>
  <c r="G36" i="26" s="1"/>
  <c r="I115" i="4"/>
  <c r="H36" i="26" s="1"/>
  <c r="J115" i="4"/>
  <c r="I36" i="26" s="1"/>
  <c r="K115" i="4"/>
  <c r="J36" i="26" s="1"/>
  <c r="L115" i="4"/>
  <c r="K36" i="26" s="1"/>
  <c r="M115" i="4"/>
  <c r="L36" i="26" s="1"/>
  <c r="N115" i="4"/>
  <c r="M36" i="26" s="1"/>
  <c r="F64" i="44" l="1"/>
  <c r="F60" i="44" s="1"/>
  <c r="F69" i="44" s="1"/>
  <c r="F70" i="44" s="1"/>
  <c r="F12" i="33"/>
  <c r="I64" i="44"/>
  <c r="I60" i="44" s="1"/>
  <c r="I66" i="44" s="1"/>
  <c r="I73" i="44" s="1"/>
  <c r="I74" i="44" s="1"/>
  <c r="I12" i="33"/>
  <c r="H64" i="44"/>
  <c r="H60" i="44" s="1"/>
  <c r="H66" i="44" s="1"/>
  <c r="H73" i="44" s="1"/>
  <c r="H74" i="44" s="1"/>
  <c r="H12" i="33"/>
  <c r="M64" i="44"/>
  <c r="M60" i="44" s="1"/>
  <c r="M66" i="44" s="1"/>
  <c r="M73" i="44" s="1"/>
  <c r="M74" i="44" s="1"/>
  <c r="M12" i="33"/>
  <c r="L64" i="44"/>
  <c r="L60" i="44" s="1"/>
  <c r="L66" i="44" s="1"/>
  <c r="L73" i="44" s="1"/>
  <c r="L74" i="44" s="1"/>
  <c r="L12" i="33"/>
  <c r="E64" i="44"/>
  <c r="E60" i="44" s="1"/>
  <c r="E66" i="44" s="1"/>
  <c r="E73" i="44" s="1"/>
  <c r="E74" i="44" s="1"/>
  <c r="E12" i="33"/>
  <c r="G64" i="44"/>
  <c r="G60" i="44" s="1"/>
  <c r="G66" i="44" s="1"/>
  <c r="G73" i="44" s="1"/>
  <c r="G74" i="44" s="1"/>
  <c r="G12" i="33"/>
  <c r="K64" i="44"/>
  <c r="K60" i="44" s="1"/>
  <c r="K66" i="44" s="1"/>
  <c r="K73" i="44" s="1"/>
  <c r="K74" i="44" s="1"/>
  <c r="K12" i="33"/>
  <c r="J64" i="44"/>
  <c r="J60" i="44" s="1"/>
  <c r="J66" i="44" s="1"/>
  <c r="J73" i="44" s="1"/>
  <c r="J74" i="44" s="1"/>
  <c r="J12" i="33"/>
  <c r="D64" i="44"/>
  <c r="D60" i="44" s="1"/>
  <c r="D66" i="44" s="1"/>
  <c r="D73" i="44" s="1"/>
  <c r="D74" i="44" s="1"/>
  <c r="D12" i="33"/>
  <c r="F28" i="44"/>
  <c r="F9" i="44"/>
  <c r="F12" i="44" s="1"/>
  <c r="F13" i="44" s="1"/>
  <c r="F39" i="26"/>
  <c r="I28" i="44"/>
  <c r="I9" i="44"/>
  <c r="I12" i="44" s="1"/>
  <c r="I13" i="44" s="1"/>
  <c r="I39" i="26"/>
  <c r="H9" i="44"/>
  <c r="H12" i="44" s="1"/>
  <c r="H13" i="44" s="1"/>
  <c r="H28" i="44"/>
  <c r="H39" i="26"/>
  <c r="M28" i="44"/>
  <c r="M9" i="44"/>
  <c r="M12" i="44" s="1"/>
  <c r="M13" i="44" s="1"/>
  <c r="M39" i="26"/>
  <c r="G9" i="44"/>
  <c r="G12" i="44" s="1"/>
  <c r="G13" i="44" s="1"/>
  <c r="G28" i="44"/>
  <c r="G39" i="26"/>
  <c r="L9" i="44"/>
  <c r="L12" i="44" s="1"/>
  <c r="L13" i="44" s="1"/>
  <c r="L28" i="44"/>
  <c r="L39" i="26"/>
  <c r="E28" i="44"/>
  <c r="E9" i="44"/>
  <c r="E12" i="44" s="1"/>
  <c r="E13" i="44" s="1"/>
  <c r="E39" i="26"/>
  <c r="D28" i="44"/>
  <c r="D9" i="44"/>
  <c r="D12" i="44" s="1"/>
  <c r="D13" i="44" s="1"/>
  <c r="D39" i="26"/>
  <c r="K28" i="44"/>
  <c r="K9" i="44"/>
  <c r="K12" i="44" s="1"/>
  <c r="K13" i="44" s="1"/>
  <c r="K39" i="26"/>
  <c r="J28" i="44"/>
  <c r="J9" i="44"/>
  <c r="J12" i="44" s="1"/>
  <c r="J13" i="44" s="1"/>
  <c r="J39" i="26"/>
  <c r="C115" i="4"/>
  <c r="C116" i="4" s="1"/>
  <c r="K31" i="33" l="1"/>
  <c r="K30" i="33"/>
  <c r="K40" i="1" s="1"/>
  <c r="M31" i="33"/>
  <c r="M30" i="33"/>
  <c r="M40" i="1" s="1"/>
  <c r="G31" i="33"/>
  <c r="G30" i="33"/>
  <c r="G40" i="1" s="1"/>
  <c r="H31" i="33"/>
  <c r="H30" i="33"/>
  <c r="H40" i="1" s="1"/>
  <c r="E31" i="33"/>
  <c r="E30" i="33"/>
  <c r="E40" i="1" s="1"/>
  <c r="I31" i="33"/>
  <c r="I30" i="33"/>
  <c r="I40" i="1" s="1"/>
  <c r="J31" i="33"/>
  <c r="J30" i="33"/>
  <c r="J40" i="1" s="1"/>
  <c r="L31" i="33"/>
  <c r="L30" i="33"/>
  <c r="L40" i="1" s="1"/>
  <c r="F31" i="33"/>
  <c r="F30" i="33"/>
  <c r="F40" i="1" s="1"/>
  <c r="J69" i="44"/>
  <c r="J70" i="44" s="1"/>
  <c r="F66" i="44"/>
  <c r="F73" i="44" s="1"/>
  <c r="F74" i="44" s="1"/>
  <c r="D75" i="44" s="1"/>
  <c r="D30" i="33"/>
  <c r="D40" i="1" s="1"/>
  <c r="D31" i="33"/>
  <c r="L69" i="44"/>
  <c r="L70" i="44" s="1"/>
  <c r="I69" i="44"/>
  <c r="I70" i="44" s="1"/>
  <c r="D69" i="44"/>
  <c r="D70" i="44" s="1"/>
  <c r="E69" i="44"/>
  <c r="E70" i="44" s="1"/>
  <c r="H69" i="44"/>
  <c r="H70" i="44" s="1"/>
  <c r="M69" i="44"/>
  <c r="M70" i="44" s="1"/>
  <c r="K69" i="44"/>
  <c r="K70" i="44" s="1"/>
  <c r="G69" i="44"/>
  <c r="G70" i="44" s="1"/>
  <c r="H76" i="44"/>
  <c r="H15" i="33"/>
  <c r="I76" i="44"/>
  <c r="I15" i="33"/>
  <c r="J76" i="44"/>
  <c r="J15" i="33"/>
  <c r="L76" i="44"/>
  <c r="L15" i="33"/>
  <c r="G76" i="44"/>
  <c r="G15" i="33"/>
  <c r="E76" i="44"/>
  <c r="E15" i="33"/>
  <c r="M76" i="44"/>
  <c r="M15" i="33"/>
  <c r="K76" i="44"/>
  <c r="K15" i="33"/>
  <c r="F76" i="44"/>
  <c r="F15" i="33"/>
  <c r="D76" i="44"/>
  <c r="D15" i="33"/>
  <c r="G50" i="26"/>
  <c r="G23" i="1"/>
  <c r="D23" i="1"/>
  <c r="D50" i="26"/>
  <c r="J23" i="1"/>
  <c r="J50" i="26"/>
  <c r="I50" i="26"/>
  <c r="I23" i="1"/>
  <c r="E50" i="26"/>
  <c r="E23" i="1"/>
  <c r="M50" i="26"/>
  <c r="M23" i="1"/>
  <c r="K23" i="1"/>
  <c r="K50" i="26"/>
  <c r="F50" i="26"/>
  <c r="F23" i="1"/>
  <c r="L23" i="1"/>
  <c r="L50" i="26"/>
  <c r="H23" i="1"/>
  <c r="H50" i="26"/>
  <c r="D71" i="44" l="1"/>
  <c r="J61" i="26"/>
  <c r="J55" i="26"/>
  <c r="M61" i="26"/>
  <c r="M55" i="26"/>
  <c r="F61" i="26"/>
  <c r="F55" i="26"/>
  <c r="E55" i="26"/>
  <c r="E61" i="26"/>
  <c r="D55" i="26"/>
  <c r="D61" i="26"/>
  <c r="H61" i="26"/>
  <c r="H55" i="26"/>
  <c r="K61" i="26"/>
  <c r="K55" i="26"/>
  <c r="I61" i="26"/>
  <c r="I55" i="26"/>
  <c r="L61" i="26"/>
  <c r="L55" i="26"/>
  <c r="G61" i="26"/>
  <c r="G55" i="26"/>
  <c r="D59" i="26" l="1"/>
  <c r="D63" i="26" s="1"/>
  <c r="D41" i="26" s="1"/>
  <c r="D17" i="33" s="1"/>
  <c r="E57" i="26"/>
  <c r="E59" i="26" s="1"/>
  <c r="E63" i="26" s="1"/>
  <c r="D64" i="26" l="1"/>
  <c r="D42" i="26"/>
  <c r="E41" i="26"/>
  <c r="E17" i="33" s="1"/>
  <c r="E42" i="26"/>
  <c r="E18" i="33" s="1"/>
  <c r="E64" i="26"/>
  <c r="F57" i="26"/>
  <c r="D43" i="26" l="1"/>
  <c r="D19" i="33" s="1"/>
  <c r="D42" i="33" s="1"/>
  <c r="D18" i="33"/>
  <c r="D7" i="8"/>
  <c r="D12" i="9" s="1"/>
  <c r="D10" i="9" s="1"/>
  <c r="D27" i="44"/>
  <c r="D8" i="44"/>
  <c r="D5" i="8"/>
  <c r="D6" i="44"/>
  <c r="D25" i="44"/>
  <c r="F59" i="26"/>
  <c r="F63" i="26" s="1"/>
  <c r="G57" i="26"/>
  <c r="E7" i="8"/>
  <c r="E27" i="44"/>
  <c r="E8" i="44"/>
  <c r="E43" i="26"/>
  <c r="E19" i="33" s="1"/>
  <c r="E20" i="33" l="1"/>
  <c r="E42" i="33"/>
  <c r="D46" i="26"/>
  <c r="D25" i="1" s="1"/>
  <c r="D20" i="33"/>
  <c r="D24" i="1"/>
  <c r="D10" i="44"/>
  <c r="D14" i="44" s="1"/>
  <c r="D43" i="33" s="1"/>
  <c r="E12" i="9"/>
  <c r="E10" i="9" s="1"/>
  <c r="D30" i="44"/>
  <c r="D31" i="44" s="1"/>
  <c r="F41" i="26"/>
  <c r="F17" i="33" s="1"/>
  <c r="F42" i="26"/>
  <c r="F18" i="33" s="1"/>
  <c r="F64" i="26"/>
  <c r="E24" i="1"/>
  <c r="E46" i="26"/>
  <c r="E25" i="1" s="1"/>
  <c r="E6" i="44"/>
  <c r="E10" i="44" s="1"/>
  <c r="E14" i="44" s="1"/>
  <c r="E25" i="44"/>
  <c r="E30" i="44" s="1"/>
  <c r="E31" i="44" s="1"/>
  <c r="E5" i="8"/>
  <c r="E13" i="8" s="1"/>
  <c r="E20" i="8" s="1"/>
  <c r="H57" i="26"/>
  <c r="G59" i="26"/>
  <c r="G63" i="26" s="1"/>
  <c r="D13" i="8"/>
  <c r="D20" i="8" s="1"/>
  <c r="D21" i="8" s="1"/>
  <c r="D8" i="9"/>
  <c r="D22" i="33" s="1"/>
  <c r="D36" i="33" s="1"/>
  <c r="D40" i="33" s="1"/>
  <c r="D36" i="1" s="1"/>
  <c r="E29" i="1" l="1"/>
  <c r="E43" i="33"/>
  <c r="D6" i="9"/>
  <c r="D18" i="9" s="1"/>
  <c r="E8" i="9"/>
  <c r="E22" i="33" s="1"/>
  <c r="E36" i="33" s="1"/>
  <c r="E40" i="33" s="1"/>
  <c r="E36" i="1" s="1"/>
  <c r="D29" i="9"/>
  <c r="D23" i="9" s="1"/>
  <c r="E19" i="8"/>
  <c r="E21" i="8" s="1"/>
  <c r="D42" i="1"/>
  <c r="D29" i="1"/>
  <c r="G41" i="26"/>
  <c r="G17" i="33" s="1"/>
  <c r="G64" i="26"/>
  <c r="G42" i="26"/>
  <c r="G18" i="33" s="1"/>
  <c r="F43" i="26"/>
  <c r="F19" i="33" s="1"/>
  <c r="F27" i="44"/>
  <c r="F8" i="44"/>
  <c r="F7" i="8"/>
  <c r="F12" i="9" s="1"/>
  <c r="F10" i="9" s="1"/>
  <c r="I57" i="26"/>
  <c r="H59" i="26"/>
  <c r="H63" i="26" s="1"/>
  <c r="F20" i="33" l="1"/>
  <c r="F42" i="33"/>
  <c r="D30" i="9"/>
  <c r="D32" i="9" s="1"/>
  <c r="D26" i="33"/>
  <c r="D28" i="33" s="1"/>
  <c r="D34" i="1" s="1"/>
  <c r="G43" i="26"/>
  <c r="F19" i="8"/>
  <c r="E42" i="1"/>
  <c r="E29" i="9"/>
  <c r="E23" i="9" s="1"/>
  <c r="F5" i="8"/>
  <c r="F13" i="8" s="1"/>
  <c r="F20" i="8" s="1"/>
  <c r="F25" i="44"/>
  <c r="F30" i="44" s="1"/>
  <c r="F31" i="44" s="1"/>
  <c r="F6" i="44"/>
  <c r="F10" i="44" s="1"/>
  <c r="F46" i="26"/>
  <c r="F25" i="1" s="1"/>
  <c r="F24" i="1"/>
  <c r="G8" i="44"/>
  <c r="G7" i="8"/>
  <c r="G12" i="9" s="1"/>
  <c r="G10" i="9" s="1"/>
  <c r="G27" i="44"/>
  <c r="E6" i="9"/>
  <c r="E18" i="9" s="1"/>
  <c r="H41" i="26"/>
  <c r="H17" i="33" s="1"/>
  <c r="H64" i="26"/>
  <c r="H42" i="26"/>
  <c r="H18" i="33" s="1"/>
  <c r="J57" i="26"/>
  <c r="I59" i="26"/>
  <c r="I63" i="26" s="1"/>
  <c r="E30" i="9" l="1"/>
  <c r="E32" i="9" s="1"/>
  <c r="E26" i="33"/>
  <c r="E28" i="33" s="1"/>
  <c r="E34" i="1" s="1"/>
  <c r="G46" i="26"/>
  <c r="G25" i="1" s="1"/>
  <c r="G19" i="33"/>
  <c r="G5" i="8"/>
  <c r="G13" i="8" s="1"/>
  <c r="G20" i="8" s="1"/>
  <c r="G24" i="1"/>
  <c r="G6" i="44"/>
  <c r="G10" i="44" s="1"/>
  <c r="G14" i="44" s="1"/>
  <c r="G25" i="44"/>
  <c r="G30" i="44" s="1"/>
  <c r="G31" i="44" s="1"/>
  <c r="H43" i="26"/>
  <c r="F8" i="9"/>
  <c r="H7" i="8"/>
  <c r="H12" i="9" s="1"/>
  <c r="H10" i="9" s="1"/>
  <c r="H8" i="44"/>
  <c r="H27" i="44"/>
  <c r="I41" i="26"/>
  <c r="I17" i="33" s="1"/>
  <c r="I42" i="26"/>
  <c r="I18" i="33" s="1"/>
  <c r="I64" i="26"/>
  <c r="J59" i="26"/>
  <c r="J63" i="26" s="1"/>
  <c r="K57" i="26"/>
  <c r="F14" i="44"/>
  <c r="F43" i="33" s="1"/>
  <c r="F21" i="8"/>
  <c r="F6" i="9" l="1"/>
  <c r="F18" i="9" s="1"/>
  <c r="F22" i="33"/>
  <c r="F36" i="33" s="1"/>
  <c r="F40" i="33" s="1"/>
  <c r="F36" i="1" s="1"/>
  <c r="G29" i="1"/>
  <c r="G43" i="33"/>
  <c r="G20" i="33"/>
  <c r="G42" i="33"/>
  <c r="H25" i="44"/>
  <c r="H30" i="44" s="1"/>
  <c r="H31" i="44" s="1"/>
  <c r="H19" i="33"/>
  <c r="H24" i="1"/>
  <c r="H6" i="44"/>
  <c r="H10" i="44" s="1"/>
  <c r="H14" i="44" s="1"/>
  <c r="H5" i="8"/>
  <c r="H13" i="8" s="1"/>
  <c r="H20" i="8" s="1"/>
  <c r="H46" i="26"/>
  <c r="H25" i="1" s="1"/>
  <c r="G8" i="9"/>
  <c r="K59" i="26"/>
  <c r="K63" i="26" s="1"/>
  <c r="L57" i="26"/>
  <c r="J41" i="26"/>
  <c r="J17" i="33" s="1"/>
  <c r="J42" i="26"/>
  <c r="J18" i="33" s="1"/>
  <c r="J64" i="26"/>
  <c r="I8" i="44"/>
  <c r="I27" i="44"/>
  <c r="I7" i="8"/>
  <c r="I12" i="9" s="1"/>
  <c r="I10" i="9" s="1"/>
  <c r="F29" i="1"/>
  <c r="F29" i="9"/>
  <c r="F23" i="9" s="1"/>
  <c r="F42" i="1"/>
  <c r="G19" i="8"/>
  <c r="G21" i="8" s="1"/>
  <c r="I43" i="26"/>
  <c r="I19" i="33" s="1"/>
  <c r="H20" i="33" l="1"/>
  <c r="H42" i="33"/>
  <c r="F30" i="9"/>
  <c r="F32" i="9" s="1"/>
  <c r="F26" i="33"/>
  <c r="F28" i="33" s="1"/>
  <c r="F34" i="1" s="1"/>
  <c r="G6" i="9"/>
  <c r="G18" i="9" s="1"/>
  <c r="G22" i="33"/>
  <c r="G36" i="33" s="1"/>
  <c r="G40" i="33" s="1"/>
  <c r="G36" i="1" s="1"/>
  <c r="I20" i="33"/>
  <c r="I42" i="33"/>
  <c r="H29" i="1"/>
  <c r="H43" i="33"/>
  <c r="H8" i="9"/>
  <c r="H19" i="8"/>
  <c r="H21" i="8" s="1"/>
  <c r="G29" i="9"/>
  <c r="G23" i="9" s="1"/>
  <c r="G42" i="1"/>
  <c r="J43" i="26"/>
  <c r="J19" i="33" s="1"/>
  <c r="L59" i="26"/>
  <c r="L63" i="26" s="1"/>
  <c r="M57" i="26"/>
  <c r="M59" i="26" s="1"/>
  <c r="M63" i="26" s="1"/>
  <c r="J8" i="44"/>
  <c r="J7" i="8"/>
  <c r="J12" i="9" s="1"/>
  <c r="J10" i="9" s="1"/>
  <c r="J27" i="44"/>
  <c r="I5" i="8"/>
  <c r="I13" i="8" s="1"/>
  <c r="I20" i="8" s="1"/>
  <c r="I25" i="44"/>
  <c r="I30" i="44" s="1"/>
  <c r="I31" i="44" s="1"/>
  <c r="I6" i="44"/>
  <c r="I10" i="44" s="1"/>
  <c r="I24" i="1"/>
  <c r="I46" i="26"/>
  <c r="I25" i="1" s="1"/>
  <c r="K41" i="26"/>
  <c r="K17" i="33" s="1"/>
  <c r="K64" i="26"/>
  <c r="K42" i="26"/>
  <c r="K18" i="33" s="1"/>
  <c r="G30" i="9" l="1"/>
  <c r="G32" i="9" s="1"/>
  <c r="G26" i="33"/>
  <c r="G28" i="33" s="1"/>
  <c r="G34" i="1" s="1"/>
  <c r="J20" i="33"/>
  <c r="J42" i="33"/>
  <c r="H6" i="9"/>
  <c r="H18" i="9" s="1"/>
  <c r="H22" i="33"/>
  <c r="H36" i="33" s="1"/>
  <c r="H40" i="33" s="1"/>
  <c r="H36" i="1" s="1"/>
  <c r="M41" i="26"/>
  <c r="M17" i="33" s="1"/>
  <c r="M42" i="26"/>
  <c r="M18" i="33" s="1"/>
  <c r="M64" i="26"/>
  <c r="I14" i="44"/>
  <c r="I43" i="33" s="1"/>
  <c r="J5" i="8"/>
  <c r="J13" i="8" s="1"/>
  <c r="J20" i="8" s="1"/>
  <c r="J25" i="44"/>
  <c r="J30" i="44" s="1"/>
  <c r="J31" i="44" s="1"/>
  <c r="J6" i="44"/>
  <c r="J10" i="44" s="1"/>
  <c r="J14" i="44" s="1"/>
  <c r="J24" i="1"/>
  <c r="J46" i="26"/>
  <c r="J25" i="1" s="1"/>
  <c r="L41" i="26"/>
  <c r="L17" i="33" s="1"/>
  <c r="L42" i="26"/>
  <c r="L18" i="33" s="1"/>
  <c r="L64" i="26"/>
  <c r="K7" i="8"/>
  <c r="K12" i="9" s="1"/>
  <c r="K10" i="9" s="1"/>
  <c r="K27" i="44"/>
  <c r="K8" i="44"/>
  <c r="I8" i="9"/>
  <c r="I22" i="33" s="1"/>
  <c r="I36" i="33" s="1"/>
  <c r="I40" i="33" s="1"/>
  <c r="I36" i="1" s="1"/>
  <c r="K43" i="26"/>
  <c r="K19" i="33" s="1"/>
  <c r="I19" i="8"/>
  <c r="I21" i="8" s="1"/>
  <c r="H42" i="1"/>
  <c r="H29" i="9"/>
  <c r="H23" i="9" s="1"/>
  <c r="H30" i="9" l="1"/>
  <c r="H32" i="9" s="1"/>
  <c r="H26" i="33"/>
  <c r="H28" i="33" s="1"/>
  <c r="H34" i="1" s="1"/>
  <c r="K20" i="33"/>
  <c r="K42" i="33"/>
  <c r="J29" i="1"/>
  <c r="J43" i="33"/>
  <c r="I29" i="9"/>
  <c r="I23" i="9" s="1"/>
  <c r="I42" i="1"/>
  <c r="J19" i="8"/>
  <c r="J21" i="8" s="1"/>
  <c r="I29" i="1"/>
  <c r="K5" i="8"/>
  <c r="K13" i="8" s="1"/>
  <c r="K20" i="8" s="1"/>
  <c r="K25" i="44"/>
  <c r="K30" i="44" s="1"/>
  <c r="K31" i="44" s="1"/>
  <c r="K6" i="44"/>
  <c r="K10" i="44" s="1"/>
  <c r="K14" i="44" s="1"/>
  <c r="K24" i="1"/>
  <c r="K46" i="26"/>
  <c r="K25" i="1" s="1"/>
  <c r="L7" i="8"/>
  <c r="L12" i="9" s="1"/>
  <c r="L27" i="44"/>
  <c r="L8" i="44"/>
  <c r="L43" i="26"/>
  <c r="L19" i="33" s="1"/>
  <c r="I6" i="9"/>
  <c r="I18" i="9" s="1"/>
  <c r="J8" i="9"/>
  <c r="J22" i="33" s="1"/>
  <c r="J36" i="33" s="1"/>
  <c r="J40" i="33" s="1"/>
  <c r="J36" i="1" s="1"/>
  <c r="M7" i="8"/>
  <c r="M27" i="44"/>
  <c r="M8" i="44"/>
  <c r="M43" i="26"/>
  <c r="M19" i="33" s="1"/>
  <c r="I30" i="9" l="1"/>
  <c r="I26" i="33"/>
  <c r="I28" i="33" s="1"/>
  <c r="I34" i="1" s="1"/>
  <c r="K29" i="1"/>
  <c r="K43" i="33"/>
  <c r="L20" i="33"/>
  <c r="L42" i="33"/>
  <c r="M20" i="33"/>
  <c r="M42" i="33"/>
  <c r="K19" i="8"/>
  <c r="K21" i="8" s="1"/>
  <c r="J29" i="9"/>
  <c r="J23" i="9" s="1"/>
  <c r="J42" i="1"/>
  <c r="L10" i="9"/>
  <c r="M12" i="9"/>
  <c r="M10" i="9" s="1"/>
  <c r="L6" i="44"/>
  <c r="L10" i="44" s="1"/>
  <c r="L14" i="44" s="1"/>
  <c r="L43" i="33" s="1"/>
  <c r="L24" i="1"/>
  <c r="L25" i="44"/>
  <c r="L30" i="44" s="1"/>
  <c r="L31" i="44" s="1"/>
  <c r="L5" i="8"/>
  <c r="L13" i="8" s="1"/>
  <c r="L20" i="8" s="1"/>
  <c r="L46" i="26"/>
  <c r="L25" i="1" s="1"/>
  <c r="M5" i="8"/>
  <c r="M6" i="44"/>
  <c r="M10" i="44" s="1"/>
  <c r="M24" i="1"/>
  <c r="M46" i="26"/>
  <c r="M25" i="1" s="1"/>
  <c r="M25" i="44"/>
  <c r="M30" i="44" s="1"/>
  <c r="M31" i="44" s="1"/>
  <c r="J6" i="9"/>
  <c r="J18" i="9" s="1"/>
  <c r="K8" i="9"/>
  <c r="K22" i="33" s="1"/>
  <c r="K36" i="33" s="1"/>
  <c r="K40" i="33" s="1"/>
  <c r="K36" i="1" s="1"/>
  <c r="I32" i="9"/>
  <c r="D47" i="33" l="1"/>
  <c r="J30" i="9"/>
  <c r="J32" i="9" s="1"/>
  <c r="J26" i="33"/>
  <c r="J28" i="33" s="1"/>
  <c r="J34" i="1" s="1"/>
  <c r="C32" i="44"/>
  <c r="M14" i="44"/>
  <c r="C15" i="44"/>
  <c r="K42" i="1"/>
  <c r="L19" i="8"/>
  <c r="L21" i="8" s="1"/>
  <c r="K29" i="9"/>
  <c r="K23" i="9" s="1"/>
  <c r="K6" i="9"/>
  <c r="K18" i="9" s="1"/>
  <c r="L8" i="9"/>
  <c r="L22" i="33" s="1"/>
  <c r="L36" i="33" s="1"/>
  <c r="L40" i="33" s="1"/>
  <c r="L36" i="1" s="1"/>
  <c r="L29" i="1"/>
  <c r="D23" i="8"/>
  <c r="M13" i="8"/>
  <c r="M20" i="8" s="1"/>
  <c r="K30" i="9" l="1"/>
  <c r="K32" i="9" s="1"/>
  <c r="K26" i="33"/>
  <c r="K28" i="33" s="1"/>
  <c r="K34" i="1" s="1"/>
  <c r="M29" i="1"/>
  <c r="M43" i="33"/>
  <c r="G5" i="36"/>
  <c r="F36" i="36" s="1"/>
  <c r="D44" i="33"/>
  <c r="F5" i="36"/>
  <c r="E36" i="36" s="1"/>
  <c r="C42" i="44"/>
  <c r="C16" i="44"/>
  <c r="L6" i="9"/>
  <c r="L18" i="9" s="1"/>
  <c r="M8" i="9"/>
  <c r="L29" i="9"/>
  <c r="L23" i="9" s="1"/>
  <c r="M19" i="8"/>
  <c r="M21" i="8" s="1"/>
  <c r="L42" i="1"/>
  <c r="F41" i="36" l="1"/>
  <c r="L30" i="9"/>
  <c r="L32" i="9" s="1"/>
  <c r="L26" i="33"/>
  <c r="L28" i="33" s="1"/>
  <c r="L34" i="1" s="1"/>
  <c r="M6" i="9"/>
  <c r="M18" i="9" s="1"/>
  <c r="M22" i="33"/>
  <c r="M36" i="33" s="1"/>
  <c r="M40" i="33" s="1"/>
  <c r="M36" i="1" s="1"/>
  <c r="F16" i="36"/>
  <c r="F26" i="36"/>
  <c r="F31" i="36"/>
  <c r="H5" i="36"/>
  <c r="G26" i="36" s="1"/>
  <c r="D45" i="33"/>
  <c r="F21" i="36"/>
  <c r="E26" i="36"/>
  <c r="E16" i="36"/>
  <c r="E21" i="36"/>
  <c r="E31" i="36"/>
  <c r="E41" i="36"/>
  <c r="M42" i="1"/>
  <c r="M29" i="9"/>
  <c r="M23" i="9" s="1"/>
  <c r="G16" i="36" l="1"/>
  <c r="M30" i="9"/>
  <c r="M32" i="9" s="1"/>
  <c r="M26" i="33"/>
  <c r="M28" i="33" s="1"/>
  <c r="M34" i="1" s="1"/>
  <c r="G21" i="36"/>
  <c r="G36" i="36"/>
  <c r="G31" i="36"/>
  <c r="G41" i="36"/>
</calcChain>
</file>

<file path=xl/sharedStrings.xml><?xml version="1.0" encoding="utf-8"?>
<sst xmlns="http://schemas.openxmlformats.org/spreadsheetml/2006/main" count="947" uniqueCount="488">
  <si>
    <t>-</t>
  </si>
  <si>
    <t>Key Dates</t>
  </si>
  <si>
    <t>Start of Construction</t>
  </si>
  <si>
    <t>Completion Date</t>
  </si>
  <si>
    <t>Commercial production</t>
  </si>
  <si>
    <t>End of First Year of Operations</t>
  </si>
  <si>
    <t>Year End of First Year of Construction</t>
  </si>
  <si>
    <t>1st Quarter Ending after Start of Construction</t>
  </si>
  <si>
    <t>1st Quarter Ending after Start of Operation</t>
  </si>
  <si>
    <t>Construction Period (months)</t>
  </si>
  <si>
    <t>No. of months of operation in first year</t>
  </si>
  <si>
    <t>Capex Schedule</t>
  </si>
  <si>
    <t>Plant &amp; Machinery</t>
  </si>
  <si>
    <t>Misc Fixed Assets</t>
  </si>
  <si>
    <t>Means of Finance</t>
  </si>
  <si>
    <t>Equity</t>
  </si>
  <si>
    <t>Term Loan</t>
  </si>
  <si>
    <t xml:space="preserve">Total </t>
  </si>
  <si>
    <t>D/E Ratio</t>
  </si>
  <si>
    <t>%Debt</t>
  </si>
  <si>
    <t>Upfront Equity</t>
  </si>
  <si>
    <t>Term Loan Assumptions</t>
  </si>
  <si>
    <t>Effective Interest Rate</t>
  </si>
  <si>
    <t>Repayment Start Date</t>
  </si>
  <si>
    <t>Repayment Ends Date</t>
  </si>
  <si>
    <t>Woking Capital Norms</t>
  </si>
  <si>
    <t>Months</t>
  </si>
  <si>
    <t>WC Margin</t>
  </si>
  <si>
    <t>Depreciation Details</t>
  </si>
  <si>
    <t>WDV
(IT Act)</t>
  </si>
  <si>
    <t>Land</t>
  </si>
  <si>
    <t>Factory Building</t>
  </si>
  <si>
    <t>Non-Factory Building</t>
  </si>
  <si>
    <t>Utilities &amp; Electrical Equipments</t>
  </si>
  <si>
    <t>Taxation Details</t>
  </si>
  <si>
    <t>Operating Assumptions</t>
  </si>
  <si>
    <t>No. of Months of Operation</t>
  </si>
  <si>
    <t>No. of Days of Operation</t>
  </si>
  <si>
    <t>Capacity Utilization (%)</t>
  </si>
  <si>
    <t>Capacity Utilization</t>
  </si>
  <si>
    <t>Total</t>
  </si>
  <si>
    <t>Margin Money for WC</t>
  </si>
  <si>
    <t>Net Selling Prices</t>
  </si>
  <si>
    <t>Opening Balance</t>
  </si>
  <si>
    <t>Closing Balance</t>
  </si>
  <si>
    <t>Interest</t>
  </si>
  <si>
    <t>Gross Sales</t>
  </si>
  <si>
    <t>Net Sales</t>
  </si>
  <si>
    <t>Admin &amp; Selling Expenses</t>
  </si>
  <si>
    <t>Depreciation</t>
  </si>
  <si>
    <t>EBITDA</t>
  </si>
  <si>
    <t>Working Capital</t>
  </si>
  <si>
    <t>Bank Charges</t>
  </si>
  <si>
    <t>PBT</t>
  </si>
  <si>
    <t>Current Tax</t>
  </si>
  <si>
    <t>Deferred Tax</t>
  </si>
  <si>
    <t>PAT</t>
  </si>
  <si>
    <t>Balance Sheet</t>
  </si>
  <si>
    <t>Share Capital</t>
  </si>
  <si>
    <t>Reserves &amp; Surplus</t>
  </si>
  <si>
    <t>Fixed Assets</t>
  </si>
  <si>
    <t>Gross Block</t>
  </si>
  <si>
    <t>Net Block</t>
  </si>
  <si>
    <t>Cash &amp; Bank Balance</t>
  </si>
  <si>
    <t>Current Liabilities</t>
  </si>
  <si>
    <t>% of value that can be depreciated</t>
  </si>
  <si>
    <t>Vehicle</t>
  </si>
  <si>
    <t>Accounting Depreciation</t>
  </si>
  <si>
    <t>No. of Months</t>
  </si>
  <si>
    <t>FY Ending</t>
  </si>
  <si>
    <t>Opening Block</t>
  </si>
  <si>
    <t>Additions during the year</t>
  </si>
  <si>
    <t>Accumulated Depreciation</t>
  </si>
  <si>
    <t>Computer</t>
  </si>
  <si>
    <t>Furniture</t>
  </si>
  <si>
    <t>All Assets</t>
  </si>
  <si>
    <t>Check</t>
  </si>
  <si>
    <t>Block Available for Depreciation</t>
  </si>
  <si>
    <t>IT Depreciation</t>
  </si>
  <si>
    <t>Block Avl for Depreciation</t>
  </si>
  <si>
    <t>Total Depreciation - Company</t>
  </si>
  <si>
    <t>Total Depreciation - IT</t>
  </si>
  <si>
    <t>Amount</t>
  </si>
  <si>
    <t>Power Cost</t>
  </si>
  <si>
    <t>Stores &amp; Spares</t>
  </si>
  <si>
    <t>Other Costs</t>
  </si>
  <si>
    <t>Salaries &amp; Wages</t>
  </si>
  <si>
    <t>Production</t>
  </si>
  <si>
    <t>Raw Material Cost</t>
  </si>
  <si>
    <t>Other Manufacturing Expenses</t>
  </si>
  <si>
    <t>Cost of Production</t>
  </si>
  <si>
    <t>Finished Goods</t>
  </si>
  <si>
    <t>Raw Material</t>
  </si>
  <si>
    <t>Cost of Sales</t>
  </si>
  <si>
    <t>Assumptions</t>
  </si>
  <si>
    <t>No of months</t>
  </si>
  <si>
    <t>Current Assets</t>
  </si>
  <si>
    <t>Total Current Assets</t>
  </si>
  <si>
    <t>Creditors</t>
  </si>
  <si>
    <t>Other Current Liabilities</t>
  </si>
  <si>
    <t>Total Current Liabilities</t>
  </si>
  <si>
    <t>Bank Borrowings</t>
  </si>
  <si>
    <t xml:space="preserve">Sundry Debtors </t>
  </si>
  <si>
    <t>Sales</t>
  </si>
  <si>
    <t>Expenses</t>
  </si>
  <si>
    <t>Cost of Goods Sold</t>
  </si>
  <si>
    <t>EBITDA Margin</t>
  </si>
  <si>
    <t>EBIT</t>
  </si>
  <si>
    <t>Term Loans</t>
  </si>
  <si>
    <t>TL Interest</t>
  </si>
  <si>
    <t>WC Interest</t>
  </si>
  <si>
    <t>WC Interest Rate</t>
  </si>
  <si>
    <t>Provision for Tax</t>
  </si>
  <si>
    <t>PAT Margins</t>
  </si>
  <si>
    <t>Cash Accruals</t>
  </si>
  <si>
    <t>Tax Calculation</t>
  </si>
  <si>
    <t>Depr as per books</t>
  </si>
  <si>
    <t>Depr as per IT</t>
  </si>
  <si>
    <t>PBT as per IT</t>
  </si>
  <si>
    <t>Losses carry forward</t>
  </si>
  <si>
    <t>MAT</t>
  </si>
  <si>
    <t>MAT - Credit</t>
  </si>
  <si>
    <t>Op Credit</t>
  </si>
  <si>
    <t>MAT Credit</t>
  </si>
  <si>
    <t>Utilised</t>
  </si>
  <si>
    <t>CL Credit</t>
  </si>
  <si>
    <t>Deferred Tax Calculation</t>
  </si>
  <si>
    <t>Normal Tax</t>
  </si>
  <si>
    <t>Tax Leviable</t>
  </si>
  <si>
    <t>Deferred Tax for the Year</t>
  </si>
  <si>
    <t>Op Deferred Tax</t>
  </si>
  <si>
    <t>Deferred Tax Charge</t>
  </si>
  <si>
    <t>Cl Deferred Tax</t>
  </si>
  <si>
    <t>Project Cost</t>
  </si>
  <si>
    <t>Particulars</t>
  </si>
  <si>
    <t>Total Hard Cost</t>
  </si>
  <si>
    <t>Preliminery &amp; Pre Operative Expenses</t>
  </si>
  <si>
    <t>IDC</t>
  </si>
  <si>
    <t>Total Soft Cost</t>
  </si>
  <si>
    <t>Total Project Cost</t>
  </si>
  <si>
    <t>Total Funds Requirement</t>
  </si>
  <si>
    <t>Upfront Equity Drawl</t>
  </si>
  <si>
    <t>Net Drawl Required</t>
  </si>
  <si>
    <t>Debt</t>
  </si>
  <si>
    <t>Debt Schedule - Quarterly</t>
  </si>
  <si>
    <t>Debt Drawl</t>
  </si>
  <si>
    <t>Debt Repayment</t>
  </si>
  <si>
    <t>IDC Flag</t>
  </si>
  <si>
    <t>P&amp;L</t>
  </si>
  <si>
    <t>Capex - Yearly</t>
  </si>
  <si>
    <t>Fund Phasing - Yearly</t>
  </si>
  <si>
    <t>Debt Schedule - Yearly</t>
  </si>
  <si>
    <t>Raw Material Purchase</t>
  </si>
  <si>
    <t>Opening Stock</t>
  </si>
  <si>
    <t>Purchase</t>
  </si>
  <si>
    <t>Closing Stock</t>
  </si>
  <si>
    <t>Consumption</t>
  </si>
  <si>
    <t>Deferred Tax Liability/(Asset)</t>
  </si>
  <si>
    <t>Increase in Current Liability</t>
  </si>
  <si>
    <t>Increase in Term Loan</t>
  </si>
  <si>
    <t>Increase/ (Decrease in WC Borrowing)</t>
  </si>
  <si>
    <t>Total Inflow</t>
  </si>
  <si>
    <t>Capex</t>
  </si>
  <si>
    <t>Increase in Current Assets</t>
  </si>
  <si>
    <t>Repayment of Term Loan</t>
  </si>
  <si>
    <t>Total Outflow</t>
  </si>
  <si>
    <t>Opening Cash Balance</t>
  </si>
  <si>
    <t>Surplus/ (Deficit) during the year</t>
  </si>
  <si>
    <t>Preliminary Expenses</t>
  </si>
  <si>
    <t>Less: Accumulated Depreciation</t>
  </si>
  <si>
    <t>Total Assets</t>
  </si>
  <si>
    <t>DSCR Calculations</t>
  </si>
  <si>
    <t>DSCR</t>
  </si>
  <si>
    <t>Average DSCR</t>
  </si>
  <si>
    <t>Minimum DSCR</t>
  </si>
  <si>
    <t>TOTAL</t>
  </si>
  <si>
    <t>Debt Equity Ratio</t>
  </si>
  <si>
    <t>Total Expenses</t>
  </si>
  <si>
    <t xml:space="preserve"> - Term Loan</t>
  </si>
  <si>
    <t xml:space="preserve"> - Working Capital</t>
  </si>
  <si>
    <t xml:space="preserve">Tax </t>
  </si>
  <si>
    <t xml:space="preserve"> - Current Tax</t>
  </si>
  <si>
    <t xml:space="preserve"> - Deferred Tax</t>
  </si>
  <si>
    <t>Paid up Capital</t>
  </si>
  <si>
    <t>Current Ratio</t>
  </si>
  <si>
    <t>Interest Coverage Ratio</t>
  </si>
  <si>
    <t>EBITDA/Interest (times)</t>
  </si>
  <si>
    <t>Total Tangible Assets</t>
  </si>
  <si>
    <t>EBITDA/TTA(ROCE) %</t>
  </si>
  <si>
    <t>FACR</t>
  </si>
  <si>
    <t>Net Worth</t>
  </si>
  <si>
    <t>TNW (including DTL)</t>
  </si>
  <si>
    <t>TOL</t>
  </si>
  <si>
    <t>TOL/TNW</t>
  </si>
  <si>
    <t>Net Profit Margin (%)</t>
  </si>
  <si>
    <t>Profit &amp; Loss</t>
  </si>
  <si>
    <t>Cash Flows</t>
  </si>
  <si>
    <t>Capital Expenditure</t>
  </si>
  <si>
    <t>Key Financial Indicators</t>
  </si>
  <si>
    <t>PAT Margin</t>
  </si>
  <si>
    <t>Project Details</t>
  </si>
  <si>
    <t>Upfront Fee</t>
  </si>
  <si>
    <t>Preliminary &amp; Preoperative Expenses</t>
  </si>
  <si>
    <t>Increase in Equity - Share Capital</t>
  </si>
  <si>
    <t>Stock Adjustments</t>
  </si>
  <si>
    <t>Factor</t>
  </si>
  <si>
    <t>Avg DSCR</t>
  </si>
  <si>
    <t>Min DSCR</t>
  </si>
  <si>
    <t>Increase in Project Cost</t>
  </si>
  <si>
    <t>Base Case</t>
  </si>
  <si>
    <t>Increase in Raw Material Prices</t>
  </si>
  <si>
    <t>Sensitivity Analysis</t>
  </si>
  <si>
    <t xml:space="preserve">Financial Appraisal </t>
  </si>
  <si>
    <t>Contingency</t>
  </si>
  <si>
    <t>No. of Deprecaition Months</t>
  </si>
  <si>
    <t>Average OPM</t>
  </si>
  <si>
    <t>Average NPM</t>
  </si>
  <si>
    <t>Miscellaneous Fixed Assets</t>
  </si>
  <si>
    <t>Movement of TNW</t>
  </si>
  <si>
    <t>Opening TNW</t>
  </si>
  <si>
    <t>Add/Subtract PAT</t>
  </si>
  <si>
    <t>Inc/Dec in DTL</t>
  </si>
  <si>
    <t>Inc/dec in Equity</t>
  </si>
  <si>
    <t>Closing TNW</t>
  </si>
  <si>
    <t>Security Cover</t>
  </si>
  <si>
    <t>Net Fixed Assets</t>
  </si>
  <si>
    <t>Term Loan Outstanding</t>
  </si>
  <si>
    <t>Security Margin</t>
  </si>
  <si>
    <t>Security Margin (%)</t>
  </si>
  <si>
    <t>FINANCIAL MODEL OF IEPL</t>
  </si>
  <si>
    <t>Shree Ganesh</t>
  </si>
  <si>
    <t>Electroforged Grating welding Unit -400 KVA
 Bearing bar feeding mechanism-for forward feeding of
40x 5 to 60x100 MS. Flat smoothly at the adjustment
of 30mm to 100mm space. Capacity – 250 Mt/Month
 Conveyor for exit grating panel of size of 1mtr x 6mtr
 Cropping m/c to shear the 8mm dia. of twisted or
round bar at the speed of 30 stroke/min.</t>
  </si>
  <si>
    <t>Aditya
Mech.</t>
  </si>
  <si>
    <t>Qty</t>
  </si>
  <si>
    <t>Circular Cutting m/c to cut the M.S. grating panel of size
max. of 8mm x100mm flat at the speed of 1mtr/min.</t>
  </si>
  <si>
    <t>Lump sum</t>
  </si>
  <si>
    <t>Air screw compressor 50 CFM</t>
  </si>
  <si>
    <t>Water Chilling Plant 5MT</t>
  </si>
  <si>
    <t>E.O.T. Crane 3Ton -20mtr span double gurder ,10mtrs H.</t>
  </si>
  <si>
    <t>Jib crane with 2 MT Hoist</t>
  </si>
  <si>
    <t>Hydraulic Stamping Machine 50T ( Hard Punch)</t>
  </si>
  <si>
    <t>Cutting Wheel Sharpening Machine</t>
  </si>
  <si>
    <t>Material handling Trolley’s &amp; Crane</t>
  </si>
  <si>
    <t>Bench Drilling Machine</t>
  </si>
  <si>
    <t>Plate Bending Machine</t>
  </si>
  <si>
    <t>CO2 Welding machine -15 kva</t>
  </si>
  <si>
    <t>Arc welding generator -30 kva</t>
  </si>
  <si>
    <t>Power transformer- 400 KVA, 33KV/440V</t>
  </si>
  <si>
    <t>Electrical cabling &amp; Distribution system</t>
  </si>
  <si>
    <t>Cost of Machinery installation</t>
  </si>
  <si>
    <t>Hydrotek</t>
  </si>
  <si>
    <t>Fabtech</t>
  </si>
  <si>
    <t>GBM</t>
  </si>
  <si>
    <t>Jwala</t>
  </si>
  <si>
    <t>Mukund</t>
  </si>
  <si>
    <t>Transfab</t>
  </si>
  <si>
    <t>A.G.Carpo.</t>
  </si>
  <si>
    <t>Local</t>
  </si>
  <si>
    <t>Dattatraya
Enterprises</t>
  </si>
  <si>
    <t>Atlas Capco</t>
  </si>
  <si>
    <t>Bhagwan</t>
  </si>
  <si>
    <t>Microtek</t>
  </si>
  <si>
    <t>Land and Site Development</t>
  </si>
  <si>
    <t>Unsecured Loan</t>
  </si>
  <si>
    <t>Moratorium (months)</t>
  </si>
  <si>
    <t>No. of Repayments (months)</t>
  </si>
  <si>
    <t>Financial Closure</t>
  </si>
  <si>
    <t>Important milestones</t>
  </si>
  <si>
    <t>Date</t>
  </si>
  <si>
    <t>Qtr.</t>
  </si>
  <si>
    <t>FY</t>
  </si>
  <si>
    <t>FY Ending on</t>
  </si>
  <si>
    <t>End of Construction</t>
  </si>
  <si>
    <t>COD</t>
  </si>
  <si>
    <t>Loan Drawl starts</t>
  </si>
  <si>
    <t>Loan Drawl ends</t>
  </si>
  <si>
    <t>Repayment Commences from</t>
  </si>
  <si>
    <t>Repayment ends on</t>
  </si>
  <si>
    <t>Q1</t>
  </si>
  <si>
    <t>Q2</t>
  </si>
  <si>
    <t>Q3</t>
  </si>
  <si>
    <t>Q4</t>
  </si>
  <si>
    <t>DSCR factor</t>
  </si>
  <si>
    <t>Loan Repayment Schedule</t>
  </si>
  <si>
    <t>Expansion Capacity (Ton Per Annum)</t>
  </si>
  <si>
    <t>Operating Costs</t>
  </si>
  <si>
    <t>Unit</t>
  </si>
  <si>
    <t>Cost/Ton</t>
  </si>
  <si>
    <t>Raw Materials Requirements</t>
  </si>
  <si>
    <t>Galv. Charges</t>
  </si>
  <si>
    <t>MSEB Electricity</t>
  </si>
  <si>
    <t>Fabrication Cost</t>
  </si>
  <si>
    <t>Consumable</t>
  </si>
  <si>
    <t>Testing &amp; Maint</t>
  </si>
  <si>
    <t>Steel</t>
  </si>
  <si>
    <t>Factory Rent</t>
  </si>
  <si>
    <t>in Lacs</t>
  </si>
  <si>
    <t>INR per Ton</t>
  </si>
  <si>
    <t>Electroforged Gratings</t>
  </si>
  <si>
    <t>of Net Sales</t>
  </si>
  <si>
    <t>Work In Process (WIP)</t>
  </si>
  <si>
    <t>Corporate Tax Base Rate</t>
  </si>
  <si>
    <t>MAT Base Rate</t>
  </si>
  <si>
    <t>Education Cess</t>
  </si>
  <si>
    <t>Income Tax Surcharge</t>
  </si>
  <si>
    <t>Effective Corporate Tax Rate</t>
  </si>
  <si>
    <t>Effective MAT rate</t>
  </si>
  <si>
    <t>SLM
(Comp Act)</t>
  </si>
  <si>
    <t>Land &amp; Site Development</t>
  </si>
  <si>
    <t>Site Development</t>
  </si>
  <si>
    <t>INR Lacs</t>
  </si>
  <si>
    <t xml:space="preserve">Office Furniture </t>
  </si>
  <si>
    <t>Computers</t>
  </si>
  <si>
    <t>Vehicles</t>
  </si>
  <si>
    <t>Supplier</t>
  </si>
  <si>
    <t>Preliminary &amp; Pre-operative Expenses</t>
  </si>
  <si>
    <t>Margin Money for Working Capital</t>
  </si>
  <si>
    <t>Interest During Construction</t>
  </si>
  <si>
    <t>Capex - Monthly</t>
  </si>
  <si>
    <t>Till</t>
  </si>
  <si>
    <t>Soft Cost Allocation</t>
  </si>
  <si>
    <t>Debt Drawl %</t>
  </si>
  <si>
    <t>Apr</t>
  </si>
  <si>
    <t>May</t>
  </si>
  <si>
    <t>Jun</t>
  </si>
  <si>
    <t>Jul</t>
  </si>
  <si>
    <t>Aug</t>
  </si>
  <si>
    <t>Sep</t>
  </si>
  <si>
    <t>Oct</t>
  </si>
  <si>
    <t>Nov</t>
  </si>
  <si>
    <t>Dec</t>
  </si>
  <si>
    <t>Jan</t>
  </si>
  <si>
    <t>Feb</t>
  </si>
  <si>
    <t>Mar</t>
  </si>
  <si>
    <t>Equity Drawl</t>
  </si>
  <si>
    <t>Quarterly</t>
  </si>
  <si>
    <t>Total Funding</t>
  </si>
  <si>
    <t>Repayment Months</t>
  </si>
  <si>
    <t>Installment due within one year</t>
  </si>
  <si>
    <t>(SLM)</t>
  </si>
  <si>
    <t>Depreciation Rates</t>
  </si>
  <si>
    <t>Capacity</t>
  </si>
  <si>
    <t>Ton</t>
  </si>
  <si>
    <t>Capacity Utilisation</t>
  </si>
  <si>
    <t>WIP Inventory</t>
  </si>
  <si>
    <t>FG Inventory</t>
  </si>
  <si>
    <t>WIP Inventory - Opening</t>
  </si>
  <si>
    <t>WIP Inventory - Closing</t>
  </si>
  <si>
    <t>FG Inventory - Opening</t>
  </si>
  <si>
    <t>FG Inventory - Closing</t>
  </si>
  <si>
    <t>Raw Material Requirement</t>
  </si>
  <si>
    <t>Sales Quantity</t>
  </si>
  <si>
    <t>Total Manufacturing Expenses</t>
  </si>
  <si>
    <t>Manufacturing Cost per Unit</t>
  </si>
  <si>
    <t>WIP Opening</t>
  </si>
  <si>
    <t>WIP Closing</t>
  </si>
  <si>
    <t>Total Expenses per Unit</t>
  </si>
  <si>
    <t>FG Opening</t>
  </si>
  <si>
    <t>FG Closing</t>
  </si>
  <si>
    <t>GST</t>
  </si>
  <si>
    <t>Norm</t>
  </si>
  <si>
    <t xml:space="preserve">Net Working Capital Gap </t>
  </si>
  <si>
    <t>Increase in Unsecured Loan</t>
  </si>
  <si>
    <t>Shareholders Funds</t>
  </si>
  <si>
    <t>Long Term Liabilities</t>
  </si>
  <si>
    <t>Current Maturities of LTB</t>
  </si>
  <si>
    <t>Short Term Borrowings</t>
  </si>
  <si>
    <t>Raw Material Inventory</t>
  </si>
  <si>
    <t>DSCR Factor</t>
  </si>
  <si>
    <t>Term Loan Interest</t>
  </si>
  <si>
    <t>Term Loan Repayments</t>
  </si>
  <si>
    <t>IRR Calculations</t>
  </si>
  <si>
    <t>Cash Inflow</t>
  </si>
  <si>
    <t>Cash Outflow</t>
  </si>
  <si>
    <t>Terminal Value</t>
  </si>
  <si>
    <t>IRR</t>
  </si>
  <si>
    <t>Net Cash Flows</t>
  </si>
  <si>
    <t>Interest Cost</t>
  </si>
  <si>
    <t>Current Liabilities (with CMLTB)</t>
  </si>
  <si>
    <t>Current Ratio (w/o TL instl due 1 yr)</t>
  </si>
  <si>
    <t>EBITDA Margin (%)</t>
  </si>
  <si>
    <t>FY Ending (INR Cr)</t>
  </si>
  <si>
    <t xml:space="preserve">Sales </t>
  </si>
  <si>
    <t>Variable Cost:</t>
  </si>
  <si>
    <t>Raw Material Consumed</t>
  </si>
  <si>
    <t>Interest on WC</t>
  </si>
  <si>
    <t>Contribution</t>
  </si>
  <si>
    <t>Fixed Cost:</t>
  </si>
  <si>
    <t xml:space="preserve">Salary &amp; Wages </t>
  </si>
  <si>
    <t>Administrative Overheads &amp; Selling Exp</t>
  </si>
  <si>
    <t>Interest on Term Loan</t>
  </si>
  <si>
    <t>Cash Fixed Cost</t>
  </si>
  <si>
    <t xml:space="preserve">PV Ratio  </t>
  </si>
  <si>
    <t>BREAK EVEN:</t>
  </si>
  <si>
    <t>Average break even</t>
  </si>
  <si>
    <t>Cash Break Even:</t>
  </si>
  <si>
    <t>Average cash break even</t>
  </si>
  <si>
    <t>Break Even Point Analysis</t>
  </si>
  <si>
    <t>Months of Operations</t>
  </si>
  <si>
    <t>Total Equity and Liabilities</t>
  </si>
  <si>
    <t>Sources of Funding</t>
  </si>
  <si>
    <t>Proportion</t>
  </si>
  <si>
    <t>ROI</t>
  </si>
  <si>
    <t>Post Tax CoC(%)</t>
  </si>
  <si>
    <t>WACC</t>
  </si>
  <si>
    <t>Term Loan from Banks</t>
  </si>
  <si>
    <t>Difference between IRR and WACC</t>
  </si>
  <si>
    <t>Door to Door Tenor (years)</t>
  </si>
  <si>
    <t>IRONWELD ENGINEERING PVT. LTD</t>
  </si>
  <si>
    <t>IRONWELD ENGINEERING PVT. LTD
GREENFIELD  PROJECT</t>
  </si>
  <si>
    <t>Installed Capacity (TPA)</t>
  </si>
  <si>
    <t>Projected Financials</t>
  </si>
  <si>
    <t>Setting up of 3600 TPA Electroforged Steel Grating Manufacturing Facility</t>
  </si>
  <si>
    <t>at Pimpalgoan Phata , Post Markal ,Tal- Khed Dist.</t>
  </si>
  <si>
    <t>PUNE -412 105</t>
  </si>
  <si>
    <t>Increase in Project Cost by 5%</t>
  </si>
  <si>
    <t>Increase in Raw Material Prices by 5%</t>
  </si>
  <si>
    <t>Increase in Operating Costs</t>
  </si>
  <si>
    <t>Increase in Operating Cost by 5%</t>
  </si>
  <si>
    <t>Decrease in Selling Prices by 5%</t>
  </si>
  <si>
    <t>Increase in Interest Rate by 2%</t>
  </si>
  <si>
    <t>Decrease in Capacity Utilisation by 5%</t>
  </si>
  <si>
    <t>Decrase in Selling Prices</t>
  </si>
  <si>
    <t>Increase in Interest Rates</t>
  </si>
  <si>
    <t>Decrease in Capacity Utilization</t>
  </si>
  <si>
    <t>of WC interest</t>
  </si>
  <si>
    <t>Interest Cost *(1-tax rate)</t>
  </si>
  <si>
    <t>NWC</t>
  </si>
  <si>
    <t>8% of Gross Sales</t>
  </si>
  <si>
    <t>33% of Gross Sales</t>
  </si>
  <si>
    <t>Max of Both</t>
  </si>
  <si>
    <t>Bank Borrowing</t>
  </si>
  <si>
    <t>Creditors on Consumables</t>
  </si>
  <si>
    <t>Other Current Liabilities (advance from customers)</t>
  </si>
  <si>
    <t>(Scrap Generation)</t>
  </si>
  <si>
    <t>Sales of Electroforged Gratings</t>
  </si>
  <si>
    <t>Scrap Sales</t>
  </si>
  <si>
    <t>Clamp and Hardware Sales</t>
  </si>
  <si>
    <t>Other Sales</t>
  </si>
  <si>
    <t>Clamp &amp; Hardware Sales</t>
  </si>
  <si>
    <t>INR Lacs per Month</t>
  </si>
  <si>
    <t>Margin</t>
  </si>
  <si>
    <t>Other Operating Income</t>
  </si>
  <si>
    <t>Other Operating Expenses</t>
  </si>
  <si>
    <t>Turnover Method of Working Capital Assessment</t>
  </si>
  <si>
    <t>MPBF as per CMA</t>
  </si>
  <si>
    <t>Bank Finance Available</t>
  </si>
  <si>
    <t>Critical Ratios</t>
  </si>
  <si>
    <t>Current Ratio &gt; 1.33</t>
  </si>
  <si>
    <t xml:space="preserve">Debt Equity Ratio </t>
  </si>
  <si>
    <t>Interest Coverage</t>
  </si>
  <si>
    <t>Cash Balance</t>
  </si>
  <si>
    <t>INR/Unit</t>
  </si>
  <si>
    <t>ACR</t>
  </si>
  <si>
    <t>Working Capital Borrowing</t>
  </si>
  <si>
    <t>Deposit for the Rented facilities</t>
  </si>
  <si>
    <r>
      <t>Greenweld Engineering Pvt. Ltd.</t>
    </r>
    <r>
      <rPr>
        <sz val="10"/>
        <color rgb="FF000000"/>
        <rFont val="Arial"/>
        <family val="2"/>
      </rPr>
      <t xml:space="preserve"> (‘G</t>
    </r>
    <r>
      <rPr>
        <b/>
        <sz val="10"/>
        <color rgb="FF000000"/>
        <rFont val="Arial"/>
        <family val="2"/>
      </rPr>
      <t>EPL</t>
    </r>
    <r>
      <rPr>
        <sz val="10"/>
        <color rgb="FF000000"/>
        <rFont val="Arial"/>
        <family val="2"/>
      </rPr>
      <t>’ or ‘</t>
    </r>
    <r>
      <rPr>
        <b/>
        <sz val="10"/>
        <color rgb="FF000000"/>
        <rFont val="Arial"/>
        <family val="2"/>
      </rPr>
      <t>Company</t>
    </r>
    <r>
      <rPr>
        <sz val="10"/>
        <color rgb="FF000000"/>
        <rFont val="Arial"/>
        <family val="2"/>
      </rPr>
      <t xml:space="preserve">’) was incorporated on January 7, 2020, as a private limited company in Pune, Maharashtra. The Company is engaged in Design &amp; Engineering Manufacturing and Supply of quality Electroforged /Manual Gratings, Stair Treads, Clamps &amp; Handrails. </t>
    </r>
  </si>
  <si>
    <r>
      <t>The Company has embarked on a project for manufacturing 3600 TPA of electroforged gratings at a rented facility in Markal, Pune (‘</t>
    </r>
    <r>
      <rPr>
        <b/>
        <sz val="10"/>
        <color rgb="FF000000"/>
        <rFont val="Arial"/>
        <family val="2"/>
      </rPr>
      <t>Project’</t>
    </r>
    <r>
      <rPr>
        <sz val="10"/>
        <color rgb="FF000000"/>
        <rFont val="Arial"/>
        <family val="2"/>
      </rPr>
      <t>).</t>
    </r>
  </si>
  <si>
    <t xml:space="preserve">The hard cost of the Project is estimated at INR 148.70 Lakh is proposed to be funded at a debt to equity ratio of 1.855 :1. The equity requirement is proposed to be met by fresh infusion of funds from the promoters and Unsecured Loans from the Promoters to the extent of INR 20.00 Lakh. The total debt requirement is to be funded by way of rupee term loans from banks &amp; financial institutions. </t>
  </si>
  <si>
    <r>
      <t xml:space="preserve">The Project is envisaged to commence operations from January 1, </t>
    </r>
    <r>
      <rPr>
        <sz val="10"/>
        <rFont val="Arial"/>
        <family val="2"/>
      </rPr>
      <t>2021. In the meantime ongoing operations are planned to support the Project.</t>
    </r>
  </si>
  <si>
    <t>Revenue</t>
  </si>
  <si>
    <t>Less: Expenses</t>
  </si>
  <si>
    <t>Less: Dep</t>
  </si>
  <si>
    <t>Less: Int</t>
  </si>
  <si>
    <t>EBT</t>
  </si>
  <si>
    <t>Less: Tax</t>
  </si>
  <si>
    <t>ABC (Companies Act)</t>
  </si>
  <si>
    <t>ABC (IT Act)</t>
  </si>
  <si>
    <t>CA</t>
  </si>
  <si>
    <t>IT</t>
  </si>
  <si>
    <t>Less: Current Tax</t>
  </si>
  <si>
    <t>Less: Defeered Tax</t>
  </si>
  <si>
    <t>SLM</t>
  </si>
  <si>
    <t>WDV</t>
  </si>
  <si>
    <t>Life</t>
  </si>
  <si>
    <t>Asset Value</t>
  </si>
  <si>
    <t>Residual Value</t>
  </si>
  <si>
    <t>The Company also proposes to raise Working Capital fund based finance of INR 115 Lakh from Banks/Financial Institutions to kick start the operations post commencement.</t>
  </si>
  <si>
    <t>Lacs</t>
  </si>
  <si>
    <t>lacs per month</t>
  </si>
  <si>
    <t>% of sales</t>
  </si>
  <si>
    <t>Tax - Corporate (Companys Act)</t>
  </si>
  <si>
    <t>Tax - Leviable (IT Act)</t>
  </si>
  <si>
    <t>Taxable Profit under IT Act</t>
  </si>
  <si>
    <t>Deferred Tax Liability (net)</t>
  </si>
  <si>
    <t>WACC Calculations</t>
  </si>
  <si>
    <t>EMI</t>
  </si>
  <si>
    <t>FACR (Fixed Assets / Term Loans)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</si>
</sst>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8" formatCode="&quot;₹&quot;#,##0.00_);[Red]\(&quot;₹&quot;#,##0.00\)"/>
    <numFmt numFmtId="43" formatCode="_(* #,##0.00_);_(* \(#,##0.00\);_(* &quot;-&quot;??_);_(@_)"/>
    <numFmt numFmtId="164" formatCode="_ * #,##0.00_ ;_ * \-#,##0.00_ ;_ * &quot;-&quot;??_ ;_ @_ "/>
    <numFmt numFmtId="165" formatCode="[$-409]dd\-mmm\-yy;@"/>
    <numFmt numFmtId="166" formatCode="0_)"/>
    <numFmt numFmtId="167" formatCode="0.00_)"/>
    <numFmt numFmtId="168" formatCode="0.0%"/>
    <numFmt numFmtId="169" formatCode="_([$€-2]* #,##0.00_);_([$€-2]* \(#,##0.00\);_([$€-2]* &quot;-&quot;??_)"/>
    <numFmt numFmtId="170" formatCode="[$-409]d/mmm/yy;@"/>
    <numFmt numFmtId="171" formatCode="[$-409]dd/mmm/yy;@"/>
    <numFmt numFmtId="172" formatCode="0.0"/>
    <numFmt numFmtId="173" formatCode="#,##0.000"/>
    <numFmt numFmtId="174" formatCode="_(* #,##0_);_(* \(#,##0\);_(* &quot;-&quot;??_);_(@_)"/>
  </numFmts>
  <fonts count="36">
    <font>
      <sz val="11"/>
      <color theme="1"/>
      <name val="Calibri"/>
      <family val="2"/>
      <scheme val="minor"/>
    </font>
    <font>
      <b/>
      <sz val="10"/>
      <name val="Arial"/>
      <family val="2"/>
    </font>
    <font>
      <sz val="11"/>
      <color theme="1"/>
      <name val="Calibri"/>
      <family val="2"/>
      <scheme val="minor"/>
    </font>
    <font>
      <sz val="10"/>
      <name val="Arial"/>
      <family val="2"/>
    </font>
    <font>
      <sz val="10"/>
      <name val="Courier"/>
      <family val="3"/>
    </font>
    <font>
      <sz val="10"/>
      <color theme="1"/>
      <name val="Arial"/>
      <family val="2"/>
    </font>
    <font>
      <b/>
      <sz val="10"/>
      <color theme="0"/>
      <name val="Arial"/>
      <family val="2"/>
    </font>
    <font>
      <b/>
      <sz val="10"/>
      <color theme="1"/>
      <name val="Arial"/>
      <family val="2"/>
    </font>
    <font>
      <sz val="11"/>
      <color theme="1"/>
      <name val="Arial"/>
      <family val="2"/>
    </font>
    <font>
      <b/>
      <sz val="11"/>
      <color theme="0"/>
      <name val="Arial"/>
      <family val="2"/>
    </font>
    <font>
      <b/>
      <sz val="11"/>
      <color theme="1"/>
      <name val="Arial"/>
      <family val="2"/>
    </font>
    <font>
      <b/>
      <sz val="11"/>
      <name val="Arial"/>
      <family val="2"/>
    </font>
    <font>
      <i/>
      <sz val="11"/>
      <color theme="1"/>
      <name val="Arial"/>
      <family val="2"/>
    </font>
    <font>
      <sz val="11"/>
      <name val="Arial"/>
      <family val="2"/>
    </font>
    <font>
      <sz val="10"/>
      <color theme="0"/>
      <name val="Arial"/>
      <family val="2"/>
    </font>
    <font>
      <b/>
      <u/>
      <sz val="10"/>
      <name val="Arial"/>
      <family val="2"/>
    </font>
    <font>
      <b/>
      <i/>
      <u/>
      <sz val="10"/>
      <name val="Arial"/>
      <family val="2"/>
    </font>
    <font>
      <sz val="10"/>
      <color rgb="FF009AD0"/>
      <name val="Arial"/>
      <family val="2"/>
    </font>
    <font>
      <sz val="10"/>
      <color rgb="FF0070C0"/>
      <name val="Arial"/>
      <family val="2"/>
    </font>
    <font>
      <b/>
      <i/>
      <sz val="10"/>
      <color theme="0"/>
      <name val="Arial"/>
      <family val="2"/>
    </font>
    <font>
      <sz val="10"/>
      <color rgb="FF2D00E8"/>
      <name val="Arial"/>
      <family val="2"/>
    </font>
    <font>
      <b/>
      <sz val="10"/>
      <color rgb="FF2D00E8"/>
      <name val="Arial"/>
      <family val="2"/>
    </font>
    <font>
      <i/>
      <sz val="10"/>
      <name val="Arial"/>
      <family val="2"/>
    </font>
    <font>
      <sz val="10"/>
      <color theme="1"/>
      <name val="Book Antiqua"/>
      <family val="2"/>
    </font>
    <font>
      <b/>
      <sz val="10"/>
      <color rgb="FF0000CC"/>
      <name val="Arial"/>
      <family val="2"/>
    </font>
    <font>
      <sz val="10"/>
      <color rgb="FF0000CC"/>
      <name val="Arial"/>
      <family val="2"/>
    </font>
    <font>
      <i/>
      <sz val="10"/>
      <color theme="1"/>
      <name val="Arial"/>
      <family val="2"/>
    </font>
    <font>
      <sz val="10"/>
      <color rgb="FF000000"/>
      <name val="Arial"/>
      <family val="2"/>
    </font>
    <font>
      <i/>
      <sz val="10"/>
      <color rgb="FFFF0000"/>
      <name val="Arial"/>
      <family val="2"/>
    </font>
    <font>
      <sz val="10"/>
      <color rgb="FFFF0000"/>
      <name val="Arial"/>
      <family val="2"/>
    </font>
    <font>
      <sz val="10"/>
      <color rgb="FF00B0F0"/>
      <name val="Arial"/>
      <family val="2"/>
    </font>
    <font>
      <b/>
      <u/>
      <sz val="10"/>
      <color theme="1"/>
      <name val="Arial"/>
      <family val="2"/>
    </font>
    <font>
      <i/>
      <u/>
      <sz val="10"/>
      <color theme="1"/>
      <name val="Arial"/>
      <family val="2"/>
    </font>
    <font>
      <b/>
      <i/>
      <sz val="10"/>
      <color theme="1"/>
      <name val="Arial"/>
      <family val="2"/>
    </font>
    <font>
      <b/>
      <sz val="10"/>
      <color rgb="FF000000"/>
      <name val="Arial"/>
      <family val="2"/>
    </font>
    <font>
      <b/>
      <sz val="11"/>
      <color theme="1"/>
      <name val="Calibri"/>
      <family val="2"/>
      <scheme val="minor"/>
    </font>
  </fonts>
  <fills count="19">
    <fill>
      <patternFill patternType="none"/>
    </fill>
    <fill>
      <patternFill patternType="gray125"/>
    </fill>
    <fill>
      <patternFill patternType="solid">
        <fgColor theme="0"/>
        <bgColor indexed="64"/>
      </patternFill>
    </fill>
    <fill>
      <patternFill patternType="solid">
        <fgColor rgb="FF7030A0"/>
        <bgColor indexed="64"/>
      </patternFill>
    </fill>
    <fill>
      <patternFill patternType="solid">
        <fgColor rgb="FF7030A0"/>
        <bgColor rgb="FF7030A0"/>
      </patternFill>
    </fill>
    <fill>
      <patternFill patternType="solid">
        <fgColor rgb="FF0070C0"/>
        <bgColor indexed="64"/>
      </patternFill>
    </fill>
    <fill>
      <patternFill patternType="solid">
        <fgColor theme="2" tint="-9.9978637043366805E-2"/>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rgb="FF00B050"/>
        <bgColor indexed="64"/>
      </patternFill>
    </fill>
    <fill>
      <patternFill patternType="solid">
        <fgColor rgb="FFFFC000"/>
        <bgColor indexed="64"/>
      </patternFill>
    </fill>
    <fill>
      <patternFill patternType="solid">
        <fgColor theme="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FFF00"/>
        <bgColor indexed="64"/>
      </patternFill>
    </fill>
  </fills>
  <borders count="17">
    <border>
      <left/>
      <right/>
      <top/>
      <bottom/>
      <diagonal/>
    </border>
    <border>
      <left/>
      <right style="medium">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style="medium">
        <color indexed="64"/>
      </left>
      <right/>
      <top/>
      <bottom style="medium">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7">
    <xf numFmtId="0" fontId="0" fillId="0" borderId="0"/>
    <xf numFmtId="9" fontId="2" fillId="0" borderId="0" applyFont="0" applyFill="0" applyBorder="0" applyAlignment="0" applyProtection="0"/>
    <xf numFmtId="43" fontId="2" fillId="0" borderId="0" applyFont="0" applyFill="0" applyBorder="0" applyAlignment="0" applyProtection="0"/>
    <xf numFmtId="0" fontId="3" fillId="0" borderId="0" applyNumberForma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169" fontId="4" fillId="0" borderId="0" applyFont="0" applyFill="0" applyBorder="0" applyAlignment="0" applyProtection="0"/>
    <xf numFmtId="0" fontId="3" fillId="0" borderId="0"/>
    <xf numFmtId="0" fontId="3" fillId="0" borderId="0"/>
    <xf numFmtId="0" fontId="3" fillId="0" borderId="0"/>
    <xf numFmtId="167" fontId="3" fillId="0" borderId="0"/>
    <xf numFmtId="9" fontId="3" fillId="0" borderId="0" applyFont="0" applyFill="0" applyBorder="0" applyAlignment="0" applyProtection="0"/>
    <xf numFmtId="9" fontId="3" fillId="0" borderId="0" applyFont="0" applyFill="0" applyBorder="0" applyAlignment="0" applyProtection="0"/>
    <xf numFmtId="0" fontId="23" fillId="0" borderId="0"/>
    <xf numFmtId="169" fontId="2" fillId="0" borderId="0"/>
    <xf numFmtId="0" fontId="5" fillId="0" borderId="0"/>
  </cellStyleXfs>
  <cellXfs count="312">
    <xf numFmtId="0" fontId="0" fillId="0" borderId="0" xfId="0"/>
    <xf numFmtId="167" fontId="3" fillId="2" borderId="0" xfId="3" applyNumberFormat="1" applyFill="1" applyBorder="1" applyAlignment="1">
      <alignment wrapText="1"/>
    </xf>
    <xf numFmtId="0" fontId="5" fillId="0" borderId="0" xfId="0" applyFont="1"/>
    <xf numFmtId="0" fontId="8" fillId="0" borderId="0" xfId="0" applyFont="1"/>
    <xf numFmtId="0" fontId="8" fillId="0" borderId="4" xfId="0" applyFont="1" applyBorder="1"/>
    <xf numFmtId="0" fontId="8" fillId="0" borderId="1" xfId="0" applyFont="1" applyBorder="1"/>
    <xf numFmtId="0" fontId="8" fillId="0" borderId="12" xfId="0" applyFont="1" applyBorder="1"/>
    <xf numFmtId="43" fontId="8" fillId="0" borderId="5" xfId="0" applyNumberFormat="1" applyFont="1" applyBorder="1"/>
    <xf numFmtId="0" fontId="14" fillId="2" borderId="0" xfId="0" applyFont="1" applyFill="1"/>
    <xf numFmtId="0" fontId="3" fillId="2" borderId="0" xfId="0" applyFont="1" applyFill="1"/>
    <xf numFmtId="167" fontId="15" fillId="2" borderId="4" xfId="3" applyNumberFormat="1" applyFont="1" applyFill="1" applyBorder="1" applyAlignment="1">
      <alignment horizontal="center"/>
    </xf>
    <xf numFmtId="167" fontId="15" fillId="2" borderId="0" xfId="3" applyNumberFormat="1" applyFont="1" applyFill="1" applyBorder="1" applyAlignment="1">
      <alignment horizontal="center"/>
    </xf>
    <xf numFmtId="167" fontId="15" fillId="2" borderId="1" xfId="3" applyNumberFormat="1" applyFont="1" applyFill="1" applyBorder="1" applyAlignment="1">
      <alignment horizontal="center"/>
    </xf>
    <xf numFmtId="167" fontId="15" fillId="2" borderId="0" xfId="3" applyNumberFormat="1" applyFont="1" applyFill="1" applyBorder="1" applyAlignment="1">
      <alignment horizontal="right"/>
    </xf>
    <xf numFmtId="167" fontId="15" fillId="2" borderId="12" xfId="3" applyNumberFormat="1" applyFont="1" applyFill="1" applyBorder="1" applyAlignment="1">
      <alignment horizontal="center"/>
    </xf>
    <xf numFmtId="167" fontId="15" fillId="2" borderId="5" xfId="3" applyNumberFormat="1" applyFont="1" applyFill="1" applyBorder="1" applyAlignment="1">
      <alignment horizontal="center"/>
    </xf>
    <xf numFmtId="167" fontId="15" fillId="2" borderId="6" xfId="3" applyNumberFormat="1" applyFont="1" applyFill="1" applyBorder="1" applyAlignment="1">
      <alignment horizontal="center"/>
    </xf>
    <xf numFmtId="167" fontId="15" fillId="2" borderId="10" xfId="3" applyNumberFormat="1" applyFont="1" applyFill="1" applyBorder="1" applyAlignment="1">
      <alignment horizontal="center"/>
    </xf>
    <xf numFmtId="167" fontId="15" fillId="2" borderId="7" xfId="3" applyNumberFormat="1" applyFont="1" applyFill="1" applyBorder="1" applyAlignment="1">
      <alignment horizontal="center"/>
    </xf>
    <xf numFmtId="167" fontId="15" fillId="2" borderId="8" xfId="3" applyNumberFormat="1" applyFont="1" applyFill="1" applyBorder="1" applyAlignment="1">
      <alignment horizontal="center"/>
    </xf>
    <xf numFmtId="49" fontId="1" fillId="2" borderId="0" xfId="3" applyNumberFormat="1" applyFont="1" applyFill="1" applyBorder="1" applyAlignment="1">
      <alignment horizontal="center"/>
    </xf>
    <xf numFmtId="9" fontId="5" fillId="0" borderId="0" xfId="0" applyNumberFormat="1" applyFont="1" applyAlignment="1">
      <alignment horizontal="center"/>
    </xf>
    <xf numFmtId="9" fontId="17" fillId="0" borderId="0" xfId="0" applyNumberFormat="1" applyFont="1" applyAlignment="1">
      <alignment horizontal="center"/>
    </xf>
    <xf numFmtId="9" fontId="5" fillId="0" borderId="0" xfId="0" applyNumberFormat="1" applyFont="1"/>
    <xf numFmtId="9" fontId="18" fillId="0" borderId="0" xfId="0" applyNumberFormat="1" applyFont="1" applyAlignment="1">
      <alignment horizontal="center"/>
    </xf>
    <xf numFmtId="164" fontId="5" fillId="0" borderId="0" xfId="0" applyNumberFormat="1" applyFont="1"/>
    <xf numFmtId="43" fontId="5" fillId="0" borderId="0" xfId="2" applyFont="1"/>
    <xf numFmtId="43" fontId="5" fillId="0" borderId="0" xfId="0" applyNumberFormat="1" applyFont="1"/>
    <xf numFmtId="0" fontId="17" fillId="0" borderId="0" xfId="0" applyFont="1"/>
    <xf numFmtId="43" fontId="3" fillId="0" borderId="0" xfId="0" applyNumberFormat="1" applyFont="1"/>
    <xf numFmtId="43" fontId="17" fillId="0" borderId="0" xfId="0" applyNumberFormat="1" applyFont="1"/>
    <xf numFmtId="9" fontId="17" fillId="0" borderId="0" xfId="2" applyNumberFormat="1" applyFont="1" applyFill="1" applyBorder="1"/>
    <xf numFmtId="0" fontId="3" fillId="0" borderId="0" xfId="0" applyFont="1"/>
    <xf numFmtId="165" fontId="21" fillId="0" borderId="0" xfId="0" applyNumberFormat="1" applyFont="1" applyAlignment="1">
      <alignment horizontal="center"/>
    </xf>
    <xf numFmtId="0" fontId="21" fillId="0" borderId="0" xfId="0" applyFont="1" applyAlignment="1">
      <alignment horizontal="center"/>
    </xf>
    <xf numFmtId="165" fontId="3" fillId="0" borderId="0" xfId="0" applyNumberFormat="1" applyFont="1" applyAlignment="1">
      <alignment horizontal="center"/>
    </xf>
    <xf numFmtId="166" fontId="3" fillId="0" borderId="0" xfId="0" applyNumberFormat="1" applyFont="1" applyAlignment="1">
      <alignment horizontal="center"/>
    </xf>
    <xf numFmtId="0" fontId="6" fillId="5" borderId="0" xfId="0" applyFont="1" applyFill="1"/>
    <xf numFmtId="0" fontId="14" fillId="5" borderId="0" xfId="0" applyFont="1" applyFill="1"/>
    <xf numFmtId="0" fontId="6" fillId="5" borderId="0" xfId="0" applyFont="1" applyFill="1" applyAlignment="1">
      <alignment horizontal="left"/>
    </xf>
    <xf numFmtId="165" fontId="6" fillId="5" borderId="0" xfId="0" applyNumberFormat="1" applyFont="1" applyFill="1" applyAlignment="1">
      <alignment horizontal="center"/>
    </xf>
    <xf numFmtId="9" fontId="20" fillId="0" borderId="0" xfId="0" applyNumberFormat="1" applyFont="1" applyAlignment="1">
      <alignment horizontal="center"/>
    </xf>
    <xf numFmtId="0" fontId="3" fillId="0" borderId="13" xfId="0" applyFont="1" applyBorder="1"/>
    <xf numFmtId="165" fontId="3" fillId="0" borderId="13" xfId="0" applyNumberFormat="1" applyFont="1" applyBorder="1" applyAlignment="1">
      <alignment horizontal="center"/>
    </xf>
    <xf numFmtId="0" fontId="5" fillId="0" borderId="13" xfId="0" applyFont="1" applyBorder="1"/>
    <xf numFmtId="9" fontId="5" fillId="0" borderId="13" xfId="0" applyNumberFormat="1" applyFont="1" applyBorder="1" applyAlignment="1">
      <alignment horizontal="center"/>
    </xf>
    <xf numFmtId="9" fontId="20" fillId="0" borderId="13" xfId="0" applyNumberFormat="1" applyFont="1" applyBorder="1" applyAlignment="1">
      <alignment horizontal="center"/>
    </xf>
    <xf numFmtId="168" fontId="20" fillId="0" borderId="0" xfId="0" applyNumberFormat="1" applyFont="1" applyAlignment="1">
      <alignment horizontal="center"/>
    </xf>
    <xf numFmtId="168" fontId="20" fillId="0" borderId="13" xfId="0" applyNumberFormat="1" applyFont="1" applyBorder="1" applyAlignment="1">
      <alignment horizontal="center"/>
    </xf>
    <xf numFmtId="168" fontId="5" fillId="0" borderId="0" xfId="0" applyNumberFormat="1" applyFont="1"/>
    <xf numFmtId="43" fontId="20" fillId="0" borderId="0" xfId="2" applyFont="1" applyBorder="1"/>
    <xf numFmtId="9" fontId="20" fillId="0" borderId="0" xfId="0" applyNumberFormat="1" applyFont="1"/>
    <xf numFmtId="0" fontId="20" fillId="0" borderId="0" xfId="0" applyFont="1"/>
    <xf numFmtId="0" fontId="20" fillId="0" borderId="13" xfId="0" applyFont="1" applyBorder="1"/>
    <xf numFmtId="0" fontId="1" fillId="0" borderId="0" xfId="0" applyFont="1"/>
    <xf numFmtId="165" fontId="1" fillId="0" borderId="0" xfId="0" applyNumberFormat="1" applyFont="1" applyAlignment="1">
      <alignment horizontal="center"/>
    </xf>
    <xf numFmtId="0" fontId="5" fillId="0" borderId="0" xfId="0" applyFont="1" applyAlignment="1">
      <alignment vertical="center"/>
    </xf>
    <xf numFmtId="170" fontId="3" fillId="0" borderId="0" xfId="0" applyNumberFormat="1" applyFont="1" applyAlignment="1">
      <alignment horizontal="center" vertical="center"/>
    </xf>
    <xf numFmtId="167" fontId="3" fillId="0" borderId="0" xfId="0" applyNumberFormat="1" applyFont="1" applyAlignment="1">
      <alignment vertical="center"/>
    </xf>
    <xf numFmtId="167" fontId="3" fillId="0" borderId="13" xfId="0" applyNumberFormat="1" applyFont="1" applyBorder="1" applyAlignment="1">
      <alignment vertical="center"/>
    </xf>
    <xf numFmtId="170" fontId="3" fillId="0" borderId="13" xfId="0" applyNumberFormat="1" applyFont="1" applyBorder="1" applyAlignment="1">
      <alignment horizontal="center" vertical="center"/>
    </xf>
    <xf numFmtId="0" fontId="6" fillId="5" borderId="0" xfId="0" applyFont="1" applyFill="1" applyAlignment="1">
      <alignment horizontal="right"/>
    </xf>
    <xf numFmtId="0" fontId="6" fillId="5" borderId="0" xfId="0" applyFont="1" applyFill="1" applyAlignment="1">
      <alignment horizontal="center"/>
    </xf>
    <xf numFmtId="0" fontId="7" fillId="0" borderId="0" xfId="14" applyFont="1" applyAlignment="1">
      <alignment vertical="center"/>
    </xf>
    <xf numFmtId="0" fontId="5" fillId="0" borderId="0" xfId="14" applyFont="1" applyAlignment="1">
      <alignment vertical="center"/>
    </xf>
    <xf numFmtId="0" fontId="25" fillId="0" borderId="0" xfId="14" applyFont="1" applyAlignment="1">
      <alignment vertical="center"/>
    </xf>
    <xf numFmtId="10" fontId="26" fillId="0" borderId="0" xfId="0" applyNumberFormat="1" applyFont="1" applyAlignment="1">
      <alignment horizontal="center"/>
    </xf>
    <xf numFmtId="0" fontId="26" fillId="0" borderId="0" xfId="0" applyFont="1"/>
    <xf numFmtId="0" fontId="24" fillId="0" borderId="0" xfId="14" applyFont="1" applyAlignment="1">
      <alignment horizontal="left" vertical="center"/>
    </xf>
    <xf numFmtId="0" fontId="5" fillId="9" borderId="0" xfId="14" applyFont="1" applyFill="1" applyAlignment="1">
      <alignment vertical="center"/>
    </xf>
    <xf numFmtId="10" fontId="5" fillId="0" borderId="0" xfId="0" applyNumberFormat="1" applyFont="1" applyAlignment="1">
      <alignment vertical="center"/>
    </xf>
    <xf numFmtId="0" fontId="5" fillId="0" borderId="0" xfId="14" applyFont="1" applyAlignment="1">
      <alignment horizontal="left" vertical="center"/>
    </xf>
    <xf numFmtId="0" fontId="5" fillId="8" borderId="0" xfId="14" applyFont="1" applyFill="1" applyAlignment="1">
      <alignment vertical="center"/>
    </xf>
    <xf numFmtId="10" fontId="5" fillId="0" borderId="0" xfId="14" applyNumberFormat="1" applyFont="1" applyAlignment="1">
      <alignment vertical="center"/>
    </xf>
    <xf numFmtId="10" fontId="25" fillId="0" borderId="0" xfId="0" applyNumberFormat="1" applyFont="1" applyAlignment="1">
      <alignment vertical="center"/>
    </xf>
    <xf numFmtId="168" fontId="3" fillId="0" borderId="0" xfId="0" applyNumberFormat="1" applyFont="1" applyAlignment="1">
      <alignment vertical="center"/>
    </xf>
    <xf numFmtId="168" fontId="25" fillId="0" borderId="0" xfId="0" applyNumberFormat="1" applyFont="1" applyAlignment="1">
      <alignment vertical="center"/>
    </xf>
    <xf numFmtId="0" fontId="5" fillId="0" borderId="13" xfId="14" applyFont="1" applyBorder="1" applyAlignment="1">
      <alignment horizontal="left" vertical="center"/>
    </xf>
    <xf numFmtId="10" fontId="25" fillId="0" borderId="13" xfId="0" applyNumberFormat="1" applyFont="1" applyBorder="1" applyAlignment="1">
      <alignment vertical="center"/>
    </xf>
    <xf numFmtId="168" fontId="3" fillId="0" borderId="13" xfId="0" applyNumberFormat="1" applyFont="1" applyBorder="1" applyAlignment="1">
      <alignment vertical="center"/>
    </xf>
    <xf numFmtId="10" fontId="5" fillId="0" borderId="13" xfId="0" applyNumberFormat="1" applyFont="1" applyBorder="1" applyAlignment="1">
      <alignment vertical="center"/>
    </xf>
    <xf numFmtId="0" fontId="5" fillId="0" borderId="15" xfId="0" applyFont="1" applyBorder="1"/>
    <xf numFmtId="10" fontId="5" fillId="0" borderId="15" xfId="0" applyNumberFormat="1" applyFont="1" applyBorder="1"/>
    <xf numFmtId="10" fontId="20" fillId="0" borderId="0" xfId="14" applyNumberFormat="1" applyFont="1" applyAlignment="1">
      <alignment vertical="center"/>
    </xf>
    <xf numFmtId="1" fontId="3" fillId="0" borderId="0" xfId="0" applyNumberFormat="1" applyFont="1"/>
    <xf numFmtId="9" fontId="20" fillId="0" borderId="13" xfId="0" applyNumberFormat="1" applyFont="1" applyBorder="1"/>
    <xf numFmtId="9" fontId="3" fillId="0" borderId="13" xfId="0" applyNumberFormat="1" applyFont="1" applyBorder="1"/>
    <xf numFmtId="0" fontId="5" fillId="0" borderId="0" xfId="0" applyFont="1" applyAlignment="1">
      <alignment horizontal="left" indent="2"/>
    </xf>
    <xf numFmtId="43" fontId="17" fillId="0" borderId="0" xfId="2" applyFont="1" applyBorder="1"/>
    <xf numFmtId="43" fontId="5" fillId="0" borderId="0" xfId="2" applyFont="1" applyBorder="1"/>
    <xf numFmtId="0" fontId="5" fillId="0" borderId="13" xfId="0" applyFont="1" applyBorder="1" applyAlignment="1">
      <alignment horizontal="left" indent="2"/>
    </xf>
    <xf numFmtId="0" fontId="17" fillId="0" borderId="13" xfId="0" applyFont="1" applyBorder="1"/>
    <xf numFmtId="0" fontId="5" fillId="5" borderId="0" xfId="0" applyFont="1" applyFill="1"/>
    <xf numFmtId="170" fontId="6" fillId="5" borderId="0" xfId="0" applyNumberFormat="1" applyFont="1" applyFill="1"/>
    <xf numFmtId="0" fontId="19" fillId="0" borderId="0" xfId="0" applyFont="1" applyAlignment="1">
      <alignment horizontal="center"/>
    </xf>
    <xf numFmtId="43" fontId="17" fillId="0" borderId="0" xfId="2" applyFont="1" applyFill="1" applyBorder="1"/>
    <xf numFmtId="43" fontId="20" fillId="0" borderId="0" xfId="2" applyFont="1" applyFill="1" applyBorder="1"/>
    <xf numFmtId="10" fontId="20" fillId="0" borderId="0" xfId="2" applyNumberFormat="1" applyFont="1" applyFill="1" applyBorder="1"/>
    <xf numFmtId="9" fontId="20" fillId="0" borderId="13" xfId="2" applyNumberFormat="1" applyFont="1" applyFill="1" applyBorder="1"/>
    <xf numFmtId="0" fontId="5" fillId="0" borderId="0" xfId="0" applyFont="1" applyAlignment="1">
      <alignment horizontal="center" wrapText="1"/>
    </xf>
    <xf numFmtId="10" fontId="20" fillId="0" borderId="0" xfId="1" applyNumberFormat="1" applyFont="1" applyFill="1" applyBorder="1" applyAlignment="1">
      <alignment horizontal="right"/>
    </xf>
    <xf numFmtId="10" fontId="20" fillId="0" borderId="13" xfId="1" applyNumberFormat="1" applyFont="1" applyFill="1" applyBorder="1" applyAlignment="1">
      <alignment horizontal="right"/>
    </xf>
    <xf numFmtId="0" fontId="27" fillId="0" borderId="0" xfId="16" applyFont="1" applyAlignment="1">
      <alignment vertical="center"/>
    </xf>
    <xf numFmtId="10" fontId="20" fillId="0" borderId="0" xfId="12" applyNumberFormat="1" applyFont="1" applyFill="1" applyBorder="1" applyAlignment="1">
      <alignment horizontal="center" vertical="center"/>
    </xf>
    <xf numFmtId="10" fontId="27" fillId="0" borderId="0" xfId="12" applyNumberFormat="1" applyFont="1" applyFill="1" applyBorder="1" applyAlignment="1">
      <alignment horizontal="center" vertical="center"/>
    </xf>
    <xf numFmtId="0" fontId="27" fillId="0" borderId="13" xfId="16" applyFont="1" applyBorder="1" applyAlignment="1">
      <alignment vertical="center"/>
    </xf>
    <xf numFmtId="10" fontId="27" fillId="0" borderId="13" xfId="12" applyNumberFormat="1" applyFont="1" applyFill="1" applyBorder="1" applyAlignment="1">
      <alignment horizontal="center" vertical="center"/>
    </xf>
    <xf numFmtId="0" fontId="5" fillId="0" borderId="0" xfId="0" applyFont="1" applyAlignment="1">
      <alignment vertical="top"/>
    </xf>
    <xf numFmtId="0" fontId="0" fillId="0" borderId="0" xfId="0" applyAlignment="1">
      <alignment horizontal="center" wrapText="1"/>
    </xf>
    <xf numFmtId="0" fontId="5" fillId="0" borderId="0" xfId="0" applyFont="1" applyAlignment="1">
      <alignment horizontal="center"/>
    </xf>
    <xf numFmtId="0" fontId="0" fillId="0" borderId="0" xfId="0" applyAlignment="1">
      <alignment horizontal="center" vertical="center"/>
    </xf>
    <xf numFmtId="0" fontId="6" fillId="0" borderId="0" xfId="0" applyFont="1"/>
    <xf numFmtId="0" fontId="6" fillId="5" borderId="0" xfId="0" applyFont="1" applyFill="1" applyAlignment="1">
      <alignment wrapText="1"/>
    </xf>
    <xf numFmtId="0" fontId="5" fillId="0" borderId="0" xfId="0" applyFont="1" applyAlignment="1">
      <alignment wrapText="1"/>
    </xf>
    <xf numFmtId="0" fontId="5" fillId="2" borderId="0" xfId="0" applyFont="1" applyFill="1"/>
    <xf numFmtId="0" fontId="6" fillId="2" borderId="0" xfId="0" applyFont="1" applyFill="1"/>
    <xf numFmtId="43" fontId="5" fillId="2" borderId="0" xfId="0" applyNumberFormat="1" applyFont="1" applyFill="1"/>
    <xf numFmtId="43" fontId="5" fillId="2" borderId="0" xfId="2" applyFont="1" applyFill="1" applyBorder="1"/>
    <xf numFmtId="43" fontId="7" fillId="2" borderId="0" xfId="2" applyFont="1" applyFill="1" applyBorder="1"/>
    <xf numFmtId="43" fontId="7" fillId="2" borderId="0" xfId="0" applyNumberFormat="1" applyFont="1" applyFill="1"/>
    <xf numFmtId="0" fontId="7" fillId="0" borderId="0" xfId="0" applyFont="1"/>
    <xf numFmtId="0" fontId="7" fillId="0" borderId="15" xfId="0" applyFont="1" applyBorder="1"/>
    <xf numFmtId="0" fontId="7" fillId="10" borderId="15" xfId="0" applyFont="1" applyFill="1" applyBorder="1"/>
    <xf numFmtId="43" fontId="5" fillId="0" borderId="15" xfId="2" applyFont="1" applyBorder="1"/>
    <xf numFmtId="43" fontId="7" fillId="0" borderId="15" xfId="2" applyFont="1" applyBorder="1"/>
    <xf numFmtId="43" fontId="7" fillId="10" borderId="15" xfId="2" applyFont="1" applyFill="1" applyBorder="1"/>
    <xf numFmtId="0" fontId="5" fillId="0" borderId="13" xfId="0" applyFont="1" applyBorder="1" applyAlignment="1">
      <alignment vertical="center"/>
    </xf>
    <xf numFmtId="0" fontId="3" fillId="0" borderId="0" xfId="0" applyFont="1" applyAlignment="1">
      <alignment vertical="center"/>
    </xf>
    <xf numFmtId="0" fontId="3" fillId="0" borderId="13" xfId="0" applyFont="1" applyBorder="1" applyAlignment="1">
      <alignment vertical="center"/>
    </xf>
    <xf numFmtId="43" fontId="29" fillId="0" borderId="0" xfId="0" applyNumberFormat="1" applyFont="1"/>
    <xf numFmtId="9" fontId="3" fillId="0" borderId="0" xfId="1" applyFont="1"/>
    <xf numFmtId="43" fontId="3" fillId="0" borderId="0" xfId="2" applyFont="1"/>
    <xf numFmtId="0" fontId="22" fillId="0" borderId="0" xfId="0" applyFont="1"/>
    <xf numFmtId="165" fontId="6" fillId="0" borderId="0" xfId="0" applyNumberFormat="1" applyFont="1" applyAlignment="1">
      <alignment horizontal="center"/>
    </xf>
    <xf numFmtId="49" fontId="6" fillId="5" borderId="0" xfId="0" applyNumberFormat="1" applyFont="1" applyFill="1" applyAlignment="1">
      <alignment horizontal="left"/>
    </xf>
    <xf numFmtId="164" fontId="26" fillId="0" borderId="0" xfId="0" applyNumberFormat="1" applyFont="1"/>
    <xf numFmtId="43" fontId="26" fillId="0" borderId="0" xfId="2" applyFont="1" applyBorder="1"/>
    <xf numFmtId="43" fontId="5" fillId="0" borderId="0" xfId="2" applyFont="1" applyFill="1" applyBorder="1"/>
    <xf numFmtId="0" fontId="28" fillId="0" borderId="0" xfId="0" applyFont="1"/>
    <xf numFmtId="43" fontId="28" fillId="0" borderId="0" xfId="0" applyNumberFormat="1" applyFont="1"/>
    <xf numFmtId="9" fontId="5" fillId="0" borderId="0" xfId="1" applyFont="1" applyBorder="1"/>
    <xf numFmtId="168" fontId="5" fillId="0" borderId="13" xfId="1" applyNumberFormat="1" applyFont="1" applyBorder="1"/>
    <xf numFmtId="43" fontId="7" fillId="0" borderId="0" xfId="0" applyNumberFormat="1" applyFont="1"/>
    <xf numFmtId="43" fontId="21" fillId="0" borderId="0" xfId="2" applyFont="1" applyBorder="1"/>
    <xf numFmtId="43" fontId="5" fillId="0" borderId="13" xfId="0" applyNumberFormat="1" applyFont="1" applyBorder="1"/>
    <xf numFmtId="43" fontId="7" fillId="0" borderId="15" xfId="0" applyNumberFormat="1" applyFont="1" applyBorder="1"/>
    <xf numFmtId="9" fontId="20" fillId="0" borderId="15" xfId="1" applyFont="1" applyFill="1" applyBorder="1"/>
    <xf numFmtId="168" fontId="5" fillId="0" borderId="0" xfId="0" applyNumberFormat="1" applyFont="1" applyAlignment="1">
      <alignment vertical="center"/>
    </xf>
    <xf numFmtId="0" fontId="5" fillId="0" borderId="15" xfId="14" applyFont="1" applyBorder="1" applyAlignment="1">
      <alignment horizontal="left" vertical="center"/>
    </xf>
    <xf numFmtId="168" fontId="5" fillId="0" borderId="15" xfId="0" applyNumberFormat="1" applyFont="1" applyBorder="1" applyAlignment="1">
      <alignment vertical="center"/>
    </xf>
    <xf numFmtId="10" fontId="5" fillId="0" borderId="15" xfId="0" applyNumberFormat="1" applyFont="1" applyBorder="1" applyAlignment="1">
      <alignment vertical="center"/>
    </xf>
    <xf numFmtId="171" fontId="6" fillId="5" borderId="0" xfId="0" applyNumberFormat="1" applyFont="1" applyFill="1"/>
    <xf numFmtId="10" fontId="5" fillId="0" borderId="0" xfId="0" applyNumberFormat="1" applyFont="1"/>
    <xf numFmtId="43" fontId="8" fillId="0" borderId="0" xfId="2" applyFont="1" applyBorder="1"/>
    <xf numFmtId="43" fontId="5" fillId="0" borderId="13" xfId="2" applyFont="1" applyBorder="1"/>
    <xf numFmtId="9" fontId="5" fillId="0" borderId="0" xfId="1" applyFont="1" applyBorder="1" applyAlignment="1">
      <alignment vertical="center"/>
    </xf>
    <xf numFmtId="43" fontId="30" fillId="0" borderId="0" xfId="2" applyFont="1" applyFill="1" applyBorder="1"/>
    <xf numFmtId="49" fontId="6" fillId="0" borderId="0" xfId="0" applyNumberFormat="1" applyFont="1" applyAlignment="1">
      <alignment horizontal="left"/>
    </xf>
    <xf numFmtId="43" fontId="28" fillId="0" borderId="0" xfId="2" applyFont="1"/>
    <xf numFmtId="43" fontId="29" fillId="0" borderId="0" xfId="2" applyFont="1"/>
    <xf numFmtId="2" fontId="29" fillId="0" borderId="0" xfId="2" applyNumberFormat="1" applyFont="1"/>
    <xf numFmtId="9" fontId="5" fillId="0" borderId="0" xfId="1" applyFont="1"/>
    <xf numFmtId="0" fontId="29" fillId="0" borderId="0" xfId="0" applyFont="1"/>
    <xf numFmtId="2" fontId="29" fillId="0" borderId="0" xfId="0" applyNumberFormat="1" applyFont="1"/>
    <xf numFmtId="164" fontId="28" fillId="0" borderId="0" xfId="0" applyNumberFormat="1" applyFont="1"/>
    <xf numFmtId="0" fontId="5" fillId="6" borderId="0" xfId="0" applyFont="1" applyFill="1"/>
    <xf numFmtId="10" fontId="5" fillId="6" borderId="0" xfId="0" applyNumberFormat="1" applyFont="1" applyFill="1"/>
    <xf numFmtId="43" fontId="17" fillId="0" borderId="13" xfId="2" applyFont="1" applyBorder="1"/>
    <xf numFmtId="0" fontId="31" fillId="6" borderId="0" xfId="0" applyFont="1" applyFill="1"/>
    <xf numFmtId="0" fontId="7" fillId="0" borderId="14" xfId="0" applyFont="1" applyBorder="1"/>
    <xf numFmtId="0" fontId="5" fillId="0" borderId="14" xfId="0" applyFont="1" applyBorder="1"/>
    <xf numFmtId="43" fontId="5" fillId="0" borderId="14" xfId="0" applyNumberFormat="1" applyFont="1" applyBorder="1"/>
    <xf numFmtId="0" fontId="7" fillId="0" borderId="13" xfId="0" applyFont="1" applyBorder="1"/>
    <xf numFmtId="0" fontId="5" fillId="0" borderId="0" xfId="0" applyFont="1" applyAlignment="1">
      <alignment horizontal="left"/>
    </xf>
    <xf numFmtId="164" fontId="7" fillId="0" borderId="15" xfId="0" applyNumberFormat="1" applyFont="1" applyBorder="1"/>
    <xf numFmtId="43" fontId="30" fillId="0" borderId="0" xfId="2" applyFont="1" applyBorder="1"/>
    <xf numFmtId="43" fontId="5" fillId="0" borderId="15" xfId="0" applyNumberFormat="1" applyFont="1" applyBorder="1"/>
    <xf numFmtId="0" fontId="32" fillId="0" borderId="0" xfId="0" applyFont="1"/>
    <xf numFmtId="43" fontId="26" fillId="0" borderId="0" xfId="0" applyNumberFormat="1" applyFont="1"/>
    <xf numFmtId="9" fontId="26" fillId="0" borderId="0" xfId="1" applyFont="1" applyBorder="1"/>
    <xf numFmtId="0" fontId="26" fillId="0" borderId="0" xfId="0" applyFont="1" applyAlignment="1">
      <alignment horizontal="left" indent="1"/>
    </xf>
    <xf numFmtId="43" fontId="30" fillId="0" borderId="13" xfId="2" applyFont="1" applyBorder="1"/>
    <xf numFmtId="4" fontId="5" fillId="0" borderId="0" xfId="0" applyNumberFormat="1" applyFont="1"/>
    <xf numFmtId="10" fontId="5" fillId="0" borderId="13" xfId="0" applyNumberFormat="1" applyFont="1" applyBorder="1"/>
    <xf numFmtId="9" fontId="5" fillId="0" borderId="13" xfId="1" applyFont="1" applyBorder="1"/>
    <xf numFmtId="0" fontId="5" fillId="0" borderId="0" xfId="0" applyFont="1" applyAlignment="1">
      <alignment horizontal="left" indent="1"/>
    </xf>
    <xf numFmtId="10" fontId="5" fillId="0" borderId="13" xfId="0" applyNumberFormat="1" applyFont="1" applyBorder="1" applyAlignment="1">
      <alignment horizontal="left" indent="1"/>
    </xf>
    <xf numFmtId="43" fontId="7" fillId="0" borderId="14" xfId="2" applyFont="1" applyBorder="1"/>
    <xf numFmtId="43" fontId="7" fillId="0" borderId="13" xfId="2" applyFont="1" applyBorder="1"/>
    <xf numFmtId="9" fontId="7" fillId="0" borderId="0" xfId="0" applyNumberFormat="1" applyFont="1"/>
    <xf numFmtId="43" fontId="7" fillId="0" borderId="13" xfId="0" applyNumberFormat="1" applyFont="1" applyBorder="1"/>
    <xf numFmtId="0" fontId="33" fillId="0" borderId="0" xfId="0" applyFont="1"/>
    <xf numFmtId="0" fontId="33" fillId="0" borderId="15" xfId="0" applyFont="1" applyBorder="1"/>
    <xf numFmtId="0" fontId="7" fillId="11" borderId="15" xfId="0" applyFont="1" applyFill="1" applyBorder="1"/>
    <xf numFmtId="43" fontId="5" fillId="11" borderId="15" xfId="0" applyNumberFormat="1" applyFont="1" applyFill="1" applyBorder="1"/>
    <xf numFmtId="43" fontId="7" fillId="11" borderId="15" xfId="0" applyNumberFormat="1" applyFont="1" applyFill="1" applyBorder="1"/>
    <xf numFmtId="43" fontId="5" fillId="0" borderId="14" xfId="2" applyFont="1" applyBorder="1"/>
    <xf numFmtId="168" fontId="5" fillId="0" borderId="0" xfId="1" applyNumberFormat="1" applyFont="1"/>
    <xf numFmtId="9" fontId="5" fillId="0" borderId="15" xfId="1" applyFont="1" applyBorder="1"/>
    <xf numFmtId="172" fontId="3" fillId="0" borderId="13" xfId="0" applyNumberFormat="1" applyFont="1" applyBorder="1"/>
    <xf numFmtId="43" fontId="10" fillId="0" borderId="0" xfId="0" applyNumberFormat="1" applyFont="1"/>
    <xf numFmtId="165" fontId="11" fillId="0" borderId="0" xfId="0" applyNumberFormat="1" applyFont="1" applyAlignment="1">
      <alignment horizontal="center"/>
    </xf>
    <xf numFmtId="0" fontId="13" fillId="0" borderId="0" xfId="0" applyFont="1"/>
    <xf numFmtId="0" fontId="10" fillId="0" borderId="0" xfId="0" applyFont="1"/>
    <xf numFmtId="165" fontId="13" fillId="0" borderId="0" xfId="0" applyNumberFormat="1" applyFont="1" applyAlignment="1">
      <alignment horizontal="center"/>
    </xf>
    <xf numFmtId="43" fontId="8" fillId="0" borderId="0" xfId="0" applyNumberFormat="1" applyFont="1"/>
    <xf numFmtId="43" fontId="12" fillId="0" borderId="0" xfId="0" applyNumberFormat="1" applyFont="1"/>
    <xf numFmtId="165" fontId="13" fillId="0" borderId="0" xfId="0" applyNumberFormat="1" applyFont="1" applyAlignment="1">
      <alignment horizontal="right"/>
    </xf>
    <xf numFmtId="4" fontId="8" fillId="0" borderId="0" xfId="0" applyNumberFormat="1" applyFont="1"/>
    <xf numFmtId="0" fontId="12" fillId="0" borderId="0" xfId="0" applyFont="1"/>
    <xf numFmtId="0" fontId="11" fillId="0" borderId="0" xfId="0" applyFont="1"/>
    <xf numFmtId="9" fontId="8" fillId="0" borderId="0" xfId="0" applyNumberFormat="1" applyFont="1"/>
    <xf numFmtId="0" fontId="10" fillId="0" borderId="4" xfId="0" applyFont="1" applyBorder="1"/>
    <xf numFmtId="0" fontId="12" fillId="0" borderId="4" xfId="0" applyFont="1" applyBorder="1"/>
    <xf numFmtId="0" fontId="8" fillId="0" borderId="5" xfId="0" applyFont="1" applyBorder="1"/>
    <xf numFmtId="0" fontId="8" fillId="0" borderId="6" xfId="0" applyFont="1" applyBorder="1"/>
    <xf numFmtId="0" fontId="9" fillId="5" borderId="10" xfId="0" applyFont="1" applyFill="1" applyBorder="1"/>
    <xf numFmtId="170" fontId="9" fillId="5" borderId="7" xfId="0" applyNumberFormat="1" applyFont="1" applyFill="1" applyBorder="1"/>
    <xf numFmtId="170" fontId="9" fillId="5" borderId="8" xfId="0" applyNumberFormat="1" applyFont="1" applyFill="1" applyBorder="1"/>
    <xf numFmtId="9" fontId="8" fillId="0" borderId="1" xfId="0" applyNumberFormat="1" applyFont="1" applyBorder="1"/>
    <xf numFmtId="43" fontId="8" fillId="0" borderId="1" xfId="2" applyFont="1" applyBorder="1"/>
    <xf numFmtId="0" fontId="0" fillId="2" borderId="0" xfId="0" applyFill="1"/>
    <xf numFmtId="9" fontId="5" fillId="7" borderId="0" xfId="0" applyNumberFormat="1" applyFont="1" applyFill="1"/>
    <xf numFmtId="9" fontId="5" fillId="7" borderId="13" xfId="0" applyNumberFormat="1" applyFont="1" applyFill="1" applyBorder="1"/>
    <xf numFmtId="9" fontId="5" fillId="0" borderId="13" xfId="0" applyNumberFormat="1" applyFont="1" applyBorder="1"/>
    <xf numFmtId="43" fontId="5" fillId="0" borderId="0" xfId="2" applyFont="1" applyBorder="1" applyAlignment="1">
      <alignment vertical="center"/>
    </xf>
    <xf numFmtId="43" fontId="5" fillId="0" borderId="13" xfId="2" applyFont="1" applyBorder="1" applyAlignment="1">
      <alignment vertical="center"/>
    </xf>
    <xf numFmtId="9" fontId="5" fillId="0" borderId="15" xfId="0" applyNumberFormat="1" applyFont="1" applyBorder="1"/>
    <xf numFmtId="0" fontId="8" fillId="0" borderId="10" xfId="0" applyFont="1" applyBorder="1"/>
    <xf numFmtId="43" fontId="8" fillId="0" borderId="7" xfId="2" applyFont="1" applyBorder="1"/>
    <xf numFmtId="43" fontId="8" fillId="0" borderId="8" xfId="2" applyFont="1" applyBorder="1"/>
    <xf numFmtId="4" fontId="8" fillId="0" borderId="1" xfId="0" applyNumberFormat="1" applyFont="1" applyBorder="1"/>
    <xf numFmtId="43" fontId="8" fillId="0" borderId="5" xfId="2" applyFont="1" applyBorder="1"/>
    <xf numFmtId="43" fontId="8" fillId="0" borderId="6" xfId="2" applyFont="1" applyBorder="1"/>
    <xf numFmtId="0" fontId="8" fillId="0" borderId="11" xfId="0" applyFont="1" applyBorder="1"/>
    <xf numFmtId="43" fontId="8" fillId="0" borderId="15" xfId="2" applyFont="1" applyBorder="1"/>
    <xf numFmtId="43" fontId="8" fillId="0" borderId="16" xfId="2" applyFont="1" applyBorder="1"/>
    <xf numFmtId="10" fontId="20" fillId="0" borderId="0" xfId="0" applyNumberFormat="1" applyFont="1" applyAlignment="1">
      <alignment horizontal="center"/>
    </xf>
    <xf numFmtId="2" fontId="8" fillId="0" borderId="5" xfId="0" applyNumberFormat="1" applyFont="1" applyBorder="1"/>
    <xf numFmtId="173" fontId="8" fillId="0" borderId="0" xfId="0" applyNumberFormat="1" applyFont="1"/>
    <xf numFmtId="9" fontId="20" fillId="0" borderId="0" xfId="2" applyNumberFormat="1" applyFont="1" applyFill="1" applyBorder="1"/>
    <xf numFmtId="43" fontId="5" fillId="0" borderId="14" xfId="2" applyFont="1" applyFill="1" applyBorder="1"/>
    <xf numFmtId="9" fontId="0" fillId="0" borderId="0" xfId="0" applyNumberFormat="1"/>
    <xf numFmtId="0" fontId="0" fillId="12" borderId="0" xfId="0" applyFill="1"/>
    <xf numFmtId="9" fontId="0" fillId="0" borderId="0" xfId="1" applyFont="1"/>
    <xf numFmtId="10" fontId="0" fillId="0" borderId="0" xfId="1" applyNumberFormat="1" applyFont="1"/>
    <xf numFmtId="0" fontId="35" fillId="0" borderId="0" xfId="0" applyFont="1"/>
    <xf numFmtId="43" fontId="0" fillId="0" borderId="0" xfId="2" applyFont="1"/>
    <xf numFmtId="43" fontId="0" fillId="0" borderId="0" xfId="0" applyNumberFormat="1"/>
    <xf numFmtId="168" fontId="5" fillId="12" borderId="0" xfId="0" applyNumberFormat="1" applyFont="1" applyFill="1" applyAlignment="1">
      <alignment vertical="center"/>
    </xf>
    <xf numFmtId="43" fontId="5" fillId="12" borderId="0" xfId="0" applyNumberFormat="1" applyFont="1" applyFill="1"/>
    <xf numFmtId="43" fontId="5" fillId="13" borderId="0" xfId="0" applyNumberFormat="1" applyFont="1" applyFill="1"/>
    <xf numFmtId="43" fontId="5" fillId="14" borderId="0" xfId="0" applyNumberFormat="1" applyFont="1" applyFill="1"/>
    <xf numFmtId="43" fontId="5" fillId="15" borderId="0" xfId="0" applyNumberFormat="1" applyFont="1" applyFill="1"/>
    <xf numFmtId="43" fontId="5" fillId="16" borderId="0" xfId="0" applyNumberFormat="1" applyFont="1" applyFill="1"/>
    <xf numFmtId="43" fontId="5" fillId="17" borderId="0" xfId="0" applyNumberFormat="1" applyFont="1" applyFill="1"/>
    <xf numFmtId="0" fontId="5" fillId="13" borderId="0" xfId="0" applyFont="1" applyFill="1"/>
    <xf numFmtId="43" fontId="5" fillId="13" borderId="0" xfId="2" applyFont="1" applyFill="1" applyBorder="1"/>
    <xf numFmtId="43" fontId="5" fillId="18" borderId="0" xfId="2" applyFont="1" applyFill="1" applyBorder="1"/>
    <xf numFmtId="174" fontId="26" fillId="0" borderId="0" xfId="2" applyNumberFormat="1" applyFont="1" applyBorder="1"/>
    <xf numFmtId="174" fontId="5" fillId="0" borderId="0" xfId="0" applyNumberFormat="1" applyFont="1"/>
    <xf numFmtId="164" fontId="7" fillId="0" borderId="0" xfId="0" applyNumberFormat="1" applyFont="1"/>
    <xf numFmtId="43" fontId="5" fillId="13" borderId="0" xfId="2" applyFont="1" applyFill="1"/>
    <xf numFmtId="0" fontId="5" fillId="13" borderId="13" xfId="0" applyFont="1" applyFill="1" applyBorder="1"/>
    <xf numFmtId="14" fontId="5" fillId="0" borderId="0" xfId="0" applyNumberFormat="1" applyFont="1"/>
    <xf numFmtId="43" fontId="5" fillId="15" borderId="0" xfId="2" applyFont="1" applyFill="1" applyBorder="1"/>
    <xf numFmtId="168" fontId="20" fillId="15" borderId="13" xfId="0" applyNumberFormat="1" applyFont="1" applyFill="1" applyBorder="1" applyAlignment="1">
      <alignment horizontal="center"/>
    </xf>
    <xf numFmtId="43" fontId="5" fillId="18" borderId="15" xfId="0" applyNumberFormat="1" applyFont="1" applyFill="1" applyBorder="1"/>
    <xf numFmtId="0" fontId="5" fillId="18" borderId="0" xfId="0" applyFont="1" applyFill="1"/>
    <xf numFmtId="0" fontId="5" fillId="16" borderId="0" xfId="0" applyFont="1" applyFill="1"/>
    <xf numFmtId="0" fontId="6" fillId="5" borderId="9" xfId="3" applyFont="1" applyFill="1" applyBorder="1" applyAlignment="1">
      <alignment horizontal="center" vertical="center"/>
    </xf>
    <xf numFmtId="0" fontId="6" fillId="5" borderId="2" xfId="3" applyFont="1" applyFill="1" applyBorder="1" applyAlignment="1">
      <alignment horizontal="center" vertical="center"/>
    </xf>
    <xf numFmtId="0" fontId="6" fillId="5" borderId="3" xfId="3" applyFont="1" applyFill="1" applyBorder="1" applyAlignment="1">
      <alignment horizontal="center" vertical="center"/>
    </xf>
    <xf numFmtId="167" fontId="6" fillId="5" borderId="9" xfId="3" applyNumberFormat="1" applyFont="1" applyFill="1" applyBorder="1" applyAlignment="1">
      <alignment horizontal="center" vertical="center"/>
    </xf>
    <xf numFmtId="167" fontId="6" fillId="5" borderId="2" xfId="3" applyNumberFormat="1" applyFont="1" applyFill="1" applyBorder="1" applyAlignment="1">
      <alignment horizontal="center" vertical="center"/>
    </xf>
    <xf numFmtId="167" fontId="6" fillId="5" borderId="3" xfId="3" applyNumberFormat="1" applyFont="1" applyFill="1" applyBorder="1" applyAlignment="1">
      <alignment horizontal="center" vertical="center"/>
    </xf>
    <xf numFmtId="167" fontId="16" fillId="2" borderId="4" xfId="3" applyNumberFormat="1" applyFont="1" applyFill="1" applyBorder="1" applyAlignment="1">
      <alignment horizontal="center"/>
    </xf>
    <xf numFmtId="167" fontId="16" fillId="2" borderId="0" xfId="3" applyNumberFormat="1" applyFont="1" applyFill="1" applyBorder="1" applyAlignment="1">
      <alignment horizontal="center"/>
    </xf>
    <xf numFmtId="167" fontId="6" fillId="5" borderId="9" xfId="3" applyNumberFormat="1" applyFont="1" applyFill="1" applyBorder="1" applyAlignment="1">
      <alignment horizontal="center"/>
    </xf>
    <xf numFmtId="167" fontId="6" fillId="5" borderId="2" xfId="3" applyNumberFormat="1" applyFont="1" applyFill="1" applyBorder="1" applyAlignment="1">
      <alignment horizontal="center"/>
    </xf>
    <xf numFmtId="167" fontId="6" fillId="5" borderId="3" xfId="3" applyNumberFormat="1" applyFont="1" applyFill="1" applyBorder="1" applyAlignment="1">
      <alignment horizontal="center"/>
    </xf>
    <xf numFmtId="167" fontId="15" fillId="2" borderId="10" xfId="3" applyNumberFormat="1" applyFont="1" applyFill="1" applyBorder="1" applyAlignment="1">
      <alignment horizontal="center"/>
    </xf>
    <xf numFmtId="167" fontId="15" fillId="2" borderId="7" xfId="3" applyNumberFormat="1" applyFont="1" applyFill="1" applyBorder="1" applyAlignment="1">
      <alignment horizontal="center"/>
    </xf>
    <xf numFmtId="167" fontId="15" fillId="2" borderId="8" xfId="3" applyNumberFormat="1" applyFont="1" applyFill="1" applyBorder="1" applyAlignment="1">
      <alignment horizontal="center"/>
    </xf>
    <xf numFmtId="167" fontId="1" fillId="2" borderId="4" xfId="3" applyNumberFormat="1" applyFont="1" applyFill="1" applyBorder="1" applyAlignment="1">
      <alignment horizontal="center"/>
    </xf>
    <xf numFmtId="167" fontId="1" fillId="2" borderId="0" xfId="3" applyNumberFormat="1" applyFont="1" applyFill="1" applyBorder="1" applyAlignment="1">
      <alignment horizontal="center"/>
    </xf>
    <xf numFmtId="167" fontId="1" fillId="2" borderId="1" xfId="3" applyNumberFormat="1" applyFont="1" applyFill="1" applyBorder="1" applyAlignment="1">
      <alignment horizontal="center"/>
    </xf>
    <xf numFmtId="167" fontId="1" fillId="2" borderId="4" xfId="3" applyNumberFormat="1" applyFont="1" applyFill="1" applyBorder="1" applyAlignment="1">
      <alignment horizontal="center" wrapText="1"/>
    </xf>
    <xf numFmtId="0" fontId="1" fillId="2" borderId="12" xfId="3" applyNumberFormat="1" applyFont="1" applyFill="1" applyBorder="1" applyAlignment="1">
      <alignment horizontal="center"/>
    </xf>
    <xf numFmtId="0" fontId="1" fillId="2" borderId="5" xfId="3" applyNumberFormat="1" applyFont="1" applyFill="1" applyBorder="1" applyAlignment="1">
      <alignment horizontal="center"/>
    </xf>
    <xf numFmtId="0" fontId="1" fillId="2" borderId="6" xfId="3" applyNumberFormat="1" applyFont="1" applyFill="1" applyBorder="1" applyAlignment="1">
      <alignment horizontal="center"/>
    </xf>
    <xf numFmtId="0" fontId="34" fillId="0" borderId="0" xfId="0" applyFont="1" applyAlignment="1">
      <alignment horizontal="left" vertical="center" wrapText="1"/>
    </xf>
    <xf numFmtId="0" fontId="27" fillId="0" borderId="0" xfId="0" applyFont="1" applyAlignment="1">
      <alignment horizontal="left" vertical="center" wrapText="1"/>
    </xf>
    <xf numFmtId="0" fontId="9" fillId="4" borderId="10" xfId="0" applyFont="1" applyFill="1" applyBorder="1" applyAlignment="1">
      <alignment horizontal="center" vertical="center" wrapText="1"/>
    </xf>
    <xf numFmtId="0" fontId="9" fillId="4" borderId="7" xfId="0" applyFont="1" applyFill="1" applyBorder="1" applyAlignment="1">
      <alignment horizontal="center" vertical="center" wrapText="1"/>
    </xf>
    <xf numFmtId="0" fontId="9" fillId="4" borderId="8" xfId="0" applyFont="1" applyFill="1" applyBorder="1" applyAlignment="1">
      <alignment horizontal="center" vertical="center" wrapText="1"/>
    </xf>
    <xf numFmtId="0" fontId="9" fillId="4" borderId="4" xfId="0" applyFont="1" applyFill="1" applyBorder="1" applyAlignment="1">
      <alignment horizontal="center" vertical="center" wrapText="1"/>
    </xf>
    <xf numFmtId="0" fontId="9" fillId="4" borderId="0" xfId="0" applyFont="1" applyFill="1" applyAlignment="1">
      <alignment horizontal="center" vertical="center" wrapText="1"/>
    </xf>
    <xf numFmtId="0" fontId="9" fillId="4" borderId="1" xfId="0" applyFont="1" applyFill="1" applyBorder="1" applyAlignment="1">
      <alignment horizontal="center" vertical="center" wrapText="1"/>
    </xf>
    <xf numFmtId="0" fontId="9" fillId="4" borderId="12"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9" fillId="4" borderId="6" xfId="0" applyFont="1" applyFill="1" applyBorder="1" applyAlignment="1">
      <alignment horizontal="center" vertical="center" wrapText="1"/>
    </xf>
    <xf numFmtId="0" fontId="9" fillId="3" borderId="10" xfId="0" applyFont="1" applyFill="1" applyBorder="1" applyAlignment="1">
      <alignment horizontal="center"/>
    </xf>
    <xf numFmtId="0" fontId="9" fillId="3" borderId="7" xfId="0" applyFont="1" applyFill="1" applyBorder="1" applyAlignment="1">
      <alignment horizontal="center"/>
    </xf>
    <xf numFmtId="0" fontId="9" fillId="3" borderId="8" xfId="0" applyFont="1" applyFill="1" applyBorder="1" applyAlignment="1">
      <alignment horizontal="center"/>
    </xf>
    <xf numFmtId="0" fontId="9" fillId="3" borderId="12" xfId="0" applyFont="1" applyFill="1" applyBorder="1" applyAlignment="1">
      <alignment horizontal="center"/>
    </xf>
    <xf numFmtId="0" fontId="9" fillId="3" borderId="5" xfId="0" applyFont="1" applyFill="1" applyBorder="1" applyAlignment="1">
      <alignment horizontal="center"/>
    </xf>
    <xf numFmtId="9" fontId="5" fillId="18" borderId="0" xfId="0" applyNumberFormat="1" applyFont="1" applyFill="1"/>
    <xf numFmtId="168" fontId="7" fillId="8" borderId="15" xfId="0" applyNumberFormat="1" applyFont="1" applyFill="1" applyBorder="1"/>
    <xf numFmtId="9" fontId="7" fillId="8" borderId="13" xfId="0" applyNumberFormat="1" applyFont="1" applyFill="1" applyBorder="1"/>
    <xf numFmtId="8" fontId="0" fillId="0" borderId="0" xfId="0" applyNumberFormat="1"/>
    <xf numFmtId="8" fontId="0" fillId="8" borderId="0" xfId="0" applyNumberFormat="1" applyFill="1"/>
  </cellXfs>
  <cellStyles count="17">
    <cellStyle name="Comma" xfId="2" builtinId="3"/>
    <cellStyle name="Comma 2" xfId="5" xr:uid="{00000000-0005-0000-0000-000001000000}"/>
    <cellStyle name="Comma 3" xfId="6" xr:uid="{00000000-0005-0000-0000-000002000000}"/>
    <cellStyle name="Euro" xfId="7" xr:uid="{00000000-0005-0000-0000-000004000000}"/>
    <cellStyle name="Normal" xfId="0" builtinId="0"/>
    <cellStyle name="Normal 2" xfId="8" xr:uid="{00000000-0005-0000-0000-000006000000}"/>
    <cellStyle name="Normal 2 2" xfId="9" xr:uid="{00000000-0005-0000-0000-000007000000}"/>
    <cellStyle name="Normal 2 2 2 2" xfId="10" xr:uid="{00000000-0005-0000-0000-000008000000}"/>
    <cellStyle name="Normal 2 3" xfId="14" xr:uid="{00000000-0005-0000-0000-000009000000}"/>
    <cellStyle name="Normal 2 3 2" xfId="15" xr:uid="{00000000-0005-0000-0000-00000A000000}"/>
    <cellStyle name="Normal 3" xfId="11" xr:uid="{00000000-0005-0000-0000-00000B000000}"/>
    <cellStyle name="Normal 4" xfId="4" xr:uid="{00000000-0005-0000-0000-00000C000000}"/>
    <cellStyle name="Normal 7" xfId="16" xr:uid="{00000000-0005-0000-0000-00000D000000}"/>
    <cellStyle name="Per cent" xfId="1" builtinId="5"/>
    <cellStyle name="Percent 2" xfId="12" xr:uid="{00000000-0005-0000-0000-000010000000}"/>
    <cellStyle name="Percent 3" xfId="13" xr:uid="{00000000-0005-0000-0000-000011000000}"/>
    <cellStyle name="Style 1" xfId="3" xr:uid="{00000000-0005-0000-0000-000012000000}"/>
  </cellStyles>
  <dxfs count="1">
    <dxf>
      <fill>
        <patternFill>
          <bgColor rgb="FFFF0000"/>
        </patternFill>
      </fill>
    </dxf>
  </dxfs>
  <tableStyles count="0" defaultTableStyle="TableStyleMedium2" defaultPivotStyle="PivotStyleMedium9"/>
  <colors>
    <mruColors>
      <color rgb="FF2D00E8"/>
      <color rgb="FF0070C0"/>
      <color rgb="FF497DBB"/>
      <color rgb="FF009AD0"/>
      <color rgb="FFD5F9E4"/>
      <color rgb="FF0F90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Sheet1!$C$32</c:f>
              <c:strCache>
                <c:ptCount val="1"/>
                <c:pt idx="0">
                  <c:v>SLM</c:v>
                </c:pt>
              </c:strCache>
            </c:strRef>
          </c:tx>
          <c:spPr>
            <a:ln w="28575" cap="rnd">
              <a:solidFill>
                <a:schemeClr val="accent1"/>
              </a:solidFill>
              <a:round/>
            </a:ln>
            <a:effectLst/>
          </c:spPr>
          <c:marker>
            <c:symbol val="none"/>
          </c:marker>
          <c:cat>
            <c:numRef>
              <c:f>Sheet1!$B$33:$B$42</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Sheet1!$C$33:$C$42</c:f>
              <c:numCache>
                <c:formatCode>General</c:formatCode>
                <c:ptCount val="10"/>
                <c:pt idx="0">
                  <c:v>95</c:v>
                </c:pt>
                <c:pt idx="1">
                  <c:v>95</c:v>
                </c:pt>
                <c:pt idx="2">
                  <c:v>95</c:v>
                </c:pt>
                <c:pt idx="3">
                  <c:v>95</c:v>
                </c:pt>
                <c:pt idx="4">
                  <c:v>95</c:v>
                </c:pt>
                <c:pt idx="5">
                  <c:v>95</c:v>
                </c:pt>
                <c:pt idx="6">
                  <c:v>95</c:v>
                </c:pt>
                <c:pt idx="7">
                  <c:v>95</c:v>
                </c:pt>
                <c:pt idx="8">
                  <c:v>95</c:v>
                </c:pt>
                <c:pt idx="9">
                  <c:v>95</c:v>
                </c:pt>
              </c:numCache>
            </c:numRef>
          </c:val>
          <c:smooth val="0"/>
          <c:extLst>
            <c:ext xmlns:c16="http://schemas.microsoft.com/office/drawing/2014/chart" uri="{C3380CC4-5D6E-409C-BE32-E72D297353CC}">
              <c16:uniqueId val="{00000000-F716-8342-A538-C66FCE0123D0}"/>
            </c:ext>
          </c:extLst>
        </c:ser>
        <c:ser>
          <c:idx val="1"/>
          <c:order val="1"/>
          <c:spPr>
            <a:ln w="28575" cap="rnd">
              <a:solidFill>
                <a:schemeClr val="accent2"/>
              </a:solidFill>
              <a:round/>
            </a:ln>
            <a:effectLst/>
          </c:spPr>
          <c:marker>
            <c:symbol val="none"/>
          </c:marker>
          <c:val>
            <c:numRef>
              <c:f>Sheet1!$D$33:$D$42</c:f>
              <c:numCache>
                <c:formatCode>_(* #,##0.00_);_(* \(#,##0.00\);_(* "-"??_);_(@_)</c:formatCode>
                <c:ptCount val="10"/>
                <c:pt idx="0">
                  <c:v>258.86555089305227</c:v>
                </c:pt>
                <c:pt idx="1">
                  <c:v>191.85417745388887</c:v>
                </c:pt>
                <c:pt idx="2">
                  <c:v>142.1897401161545</c:v>
                </c:pt>
                <c:pt idx="3">
                  <c:v>105.38171470964623</c:v>
                </c:pt>
                <c:pt idx="4">
                  <c:v>78.102019077279181</c:v>
                </c:pt>
                <c:pt idx="5">
                  <c:v>57.884096882979634</c:v>
                </c:pt>
                <c:pt idx="6">
                  <c:v>42.899898255420297</c:v>
                </c:pt>
                <c:pt idx="7">
                  <c:v>31.79459246027503</c:v>
                </c:pt>
                <c:pt idx="8">
                  <c:v>23.564067767625847</c:v>
                </c:pt>
                <c:pt idx="9">
                  <c:v>17.464142383678166</c:v>
                </c:pt>
              </c:numCache>
            </c:numRef>
          </c:val>
          <c:smooth val="0"/>
          <c:extLst>
            <c:ext xmlns:c16="http://schemas.microsoft.com/office/drawing/2014/chart" uri="{C3380CC4-5D6E-409C-BE32-E72D297353CC}">
              <c16:uniqueId val="{00000001-F716-8342-A538-C66FCE0123D0}"/>
            </c:ext>
          </c:extLst>
        </c:ser>
        <c:dLbls>
          <c:showLegendKey val="0"/>
          <c:showVal val="0"/>
          <c:showCatName val="0"/>
          <c:showSerName val="0"/>
          <c:showPercent val="0"/>
          <c:showBubbleSize val="0"/>
        </c:dLbls>
        <c:smooth val="0"/>
        <c:axId val="685487392"/>
        <c:axId val="685428672"/>
      </c:lineChart>
      <c:catAx>
        <c:axId val="68548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428672"/>
        <c:crosses val="autoZero"/>
        <c:auto val="1"/>
        <c:lblAlgn val="ctr"/>
        <c:lblOffset val="100"/>
        <c:noMultiLvlLbl val="0"/>
      </c:catAx>
      <c:valAx>
        <c:axId val="685428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48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8</xdr:col>
      <xdr:colOff>209550</xdr:colOff>
      <xdr:row>4</xdr:row>
      <xdr:rowOff>133350</xdr:rowOff>
    </xdr:from>
    <xdr:to>
      <xdr:col>12</xdr:col>
      <xdr:colOff>9334</xdr:colOff>
      <xdr:row>10</xdr:row>
      <xdr:rowOff>133229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4152900" y="923925"/>
          <a:ext cx="1533333" cy="9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206375</xdr:colOff>
      <xdr:row>26</xdr:row>
      <xdr:rowOff>96837</xdr:rowOff>
    </xdr:from>
    <xdr:to>
      <xdr:col>9</xdr:col>
      <xdr:colOff>513292</xdr:colOff>
      <xdr:row>40</xdr:row>
      <xdr:rowOff>173037</xdr:rowOff>
    </xdr:to>
    <xdr:graphicFrame macro="">
      <xdr:nvGraphicFramePr>
        <xdr:cNvPr id="3" name="Chart 2">
          <a:extLst>
            <a:ext uri="{FF2B5EF4-FFF2-40B4-BE49-F238E27FC236}">
              <a16:creationId xmlns:a16="http://schemas.microsoft.com/office/drawing/2014/main" id="{7CEC631E-A392-D7A4-94B6-4778C7933B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R31"/>
  <sheetViews>
    <sheetView tabSelected="1" zoomScale="210" zoomScaleNormal="210" workbookViewId="0"/>
  </sheetViews>
  <sheetFormatPr baseColWidth="10" defaultColWidth="9.1640625" defaultRowHeight="13"/>
  <cols>
    <col min="1" max="1" width="9.1640625" style="9"/>
    <col min="2" max="2" width="14.1640625" style="9" customWidth="1"/>
    <col min="3" max="3" width="4.83203125" style="9" customWidth="1"/>
    <col min="4" max="4" width="7.6640625" style="9" customWidth="1"/>
    <col min="5" max="5" width="5.83203125" style="9" customWidth="1"/>
    <col min="6" max="6" width="8" style="9" customWidth="1"/>
    <col min="7" max="7" width="5.5" style="9" customWidth="1"/>
    <col min="8" max="8" width="8.83203125" style="9" customWidth="1"/>
    <col min="9" max="9" width="6.6640625" style="9" customWidth="1"/>
    <col min="10" max="10" width="5.5" style="9" customWidth="1"/>
    <col min="11" max="11" width="4" style="9" customWidth="1"/>
    <col min="12" max="12" width="9.83203125" style="9" customWidth="1"/>
    <col min="13" max="13" width="5" style="9" customWidth="1"/>
    <col min="14" max="14" width="7.5" style="9" customWidth="1"/>
    <col min="15" max="15" width="7" style="9" customWidth="1"/>
    <col min="16" max="17" width="6.6640625" style="9" customWidth="1"/>
    <col min="18" max="18" width="8.33203125" style="9" customWidth="1"/>
    <col min="19" max="16384" width="9.1640625" style="9"/>
  </cols>
  <sheetData>
    <row r="1" spans="1:18" ht="14" thickBot="1">
      <c r="A1" s="8" t="s">
        <v>230</v>
      </c>
    </row>
    <row r="2" spans="1:18" ht="20.25" customHeight="1" thickBot="1">
      <c r="C2" s="270" t="s">
        <v>408</v>
      </c>
      <c r="D2" s="271" t="s">
        <v>408</v>
      </c>
      <c r="E2" s="271" t="s">
        <v>408</v>
      </c>
      <c r="F2" s="271" t="s">
        <v>408</v>
      </c>
      <c r="G2" s="271" t="s">
        <v>408</v>
      </c>
      <c r="H2" s="271" t="s">
        <v>408</v>
      </c>
      <c r="I2" s="271" t="s">
        <v>408</v>
      </c>
      <c r="J2" s="271" t="s">
        <v>408</v>
      </c>
      <c r="K2" s="271" t="s">
        <v>408</v>
      </c>
      <c r="L2" s="271" t="s">
        <v>408</v>
      </c>
      <c r="M2" s="271" t="s">
        <v>408</v>
      </c>
      <c r="N2" s="271" t="s">
        <v>408</v>
      </c>
      <c r="O2" s="271" t="s">
        <v>408</v>
      </c>
      <c r="P2" s="271" t="s">
        <v>408</v>
      </c>
      <c r="Q2" s="271" t="s">
        <v>408</v>
      </c>
      <c r="R2" s="272" t="s">
        <v>408</v>
      </c>
    </row>
    <row r="3" spans="1:18" ht="23.25" customHeight="1" thickBot="1">
      <c r="C3" s="273" t="s">
        <v>212</v>
      </c>
      <c r="D3" s="274"/>
      <c r="E3" s="274"/>
      <c r="F3" s="274"/>
      <c r="G3" s="274"/>
      <c r="H3" s="274"/>
      <c r="I3" s="274"/>
      <c r="J3" s="274"/>
      <c r="K3" s="274"/>
      <c r="L3" s="274"/>
      <c r="M3" s="274"/>
      <c r="N3" s="274"/>
      <c r="O3" s="274"/>
      <c r="P3" s="274"/>
      <c r="Q3" s="274"/>
      <c r="R3" s="275"/>
    </row>
    <row r="4" spans="1:18">
      <c r="C4" s="17"/>
      <c r="D4" s="18"/>
      <c r="E4" s="18"/>
      <c r="F4" s="18"/>
      <c r="G4" s="18"/>
      <c r="H4" s="18"/>
      <c r="I4" s="18"/>
      <c r="J4" s="18"/>
      <c r="K4" s="18"/>
      <c r="L4" s="18"/>
      <c r="M4" s="18"/>
      <c r="N4" s="18"/>
      <c r="O4" s="18"/>
      <c r="P4" s="18"/>
      <c r="Q4" s="18"/>
      <c r="R4" s="19"/>
    </row>
    <row r="5" spans="1:18">
      <c r="C5" s="10"/>
      <c r="D5" s="11"/>
      <c r="E5" s="11"/>
      <c r="F5" s="11"/>
      <c r="G5" s="11"/>
      <c r="H5" s="11"/>
      <c r="I5" s="11"/>
      <c r="J5" s="11"/>
      <c r="K5" s="11"/>
      <c r="L5" s="11"/>
      <c r="M5" s="11"/>
      <c r="N5" s="11"/>
      <c r="O5" s="11"/>
      <c r="P5" s="11"/>
      <c r="Q5" s="11"/>
      <c r="R5" s="12"/>
    </row>
    <row r="6" spans="1:18">
      <c r="C6" s="10"/>
      <c r="D6" s="11"/>
      <c r="E6" s="11"/>
      <c r="F6" s="11"/>
      <c r="G6" s="11"/>
      <c r="H6" s="11"/>
      <c r="I6" s="11"/>
      <c r="J6" s="11"/>
      <c r="K6" s="11"/>
      <c r="L6" s="11"/>
      <c r="M6" s="11"/>
      <c r="N6" s="11"/>
      <c r="O6" s="11"/>
      <c r="P6" s="11"/>
      <c r="Q6" s="11"/>
      <c r="R6" s="12"/>
    </row>
    <row r="7" spans="1:18">
      <c r="C7" s="10"/>
      <c r="D7" s="11"/>
      <c r="E7" s="11"/>
      <c r="F7" s="13"/>
      <c r="G7" s="11"/>
      <c r="H7" s="11"/>
      <c r="I7" s="11"/>
      <c r="J7" s="11"/>
      <c r="K7" s="11"/>
      <c r="L7" s="11"/>
      <c r="M7" s="11"/>
      <c r="N7" s="11"/>
      <c r="O7" s="11"/>
      <c r="P7" s="11"/>
      <c r="Q7" s="11"/>
      <c r="R7" s="12"/>
    </row>
    <row r="8" spans="1:18">
      <c r="C8" s="10"/>
      <c r="D8" s="11"/>
      <c r="E8" s="11"/>
      <c r="F8" s="11"/>
      <c r="G8" s="11"/>
      <c r="H8" s="11"/>
      <c r="I8" s="11"/>
      <c r="J8" s="11"/>
      <c r="K8" s="11"/>
      <c r="L8" s="11"/>
      <c r="M8" s="11"/>
      <c r="N8" s="11"/>
      <c r="O8" s="11"/>
      <c r="P8" s="11"/>
      <c r="Q8" s="11"/>
      <c r="R8" s="12"/>
    </row>
    <row r="9" spans="1:18">
      <c r="C9" s="10"/>
      <c r="D9" s="11"/>
      <c r="E9" s="11"/>
      <c r="F9" s="11"/>
      <c r="G9" s="11"/>
      <c r="H9" s="1"/>
      <c r="I9" s="11"/>
      <c r="J9" s="11"/>
      <c r="K9" s="11"/>
      <c r="L9" s="11"/>
      <c r="M9" s="11"/>
      <c r="N9" s="11"/>
      <c r="O9" s="11"/>
      <c r="P9" s="11"/>
      <c r="Q9" s="11"/>
      <c r="R9" s="12"/>
    </row>
    <row r="10" spans="1:18">
      <c r="C10" s="10"/>
      <c r="D10" s="11"/>
      <c r="E10" s="11"/>
      <c r="F10" s="11"/>
      <c r="G10" s="11"/>
      <c r="H10" s="11"/>
      <c r="I10" s="11"/>
      <c r="J10" s="11"/>
      <c r="K10" s="11"/>
      <c r="L10" s="11"/>
      <c r="M10" s="11"/>
      <c r="N10" s="11"/>
      <c r="O10" s="11"/>
      <c r="P10" s="11"/>
      <c r="Q10" s="11"/>
      <c r="R10" s="12"/>
    </row>
    <row r="11" spans="1:18">
      <c r="C11" s="276"/>
      <c r="D11" s="277"/>
      <c r="E11" s="277"/>
      <c r="F11" s="277"/>
      <c r="G11" s="277"/>
      <c r="H11" s="277"/>
      <c r="I11" s="277"/>
      <c r="J11" s="277"/>
      <c r="K11" s="277"/>
      <c r="L11" s="277"/>
      <c r="M11" s="277"/>
      <c r="N11" s="11"/>
      <c r="O11" s="11"/>
      <c r="P11" s="11"/>
      <c r="Q11" s="11"/>
      <c r="R11" s="12"/>
    </row>
    <row r="12" spans="1:18" ht="14" thickBot="1">
      <c r="C12" s="14"/>
      <c r="D12" s="15"/>
      <c r="E12" s="15"/>
      <c r="F12" s="15"/>
      <c r="G12" s="15"/>
      <c r="H12" s="15"/>
      <c r="I12" s="15"/>
      <c r="J12" s="15"/>
      <c r="K12" s="15"/>
      <c r="L12" s="15"/>
      <c r="M12" s="15"/>
      <c r="N12" s="15"/>
      <c r="O12" s="15"/>
      <c r="P12" s="15"/>
      <c r="Q12" s="15"/>
      <c r="R12" s="16"/>
    </row>
    <row r="13" spans="1:18" ht="14" thickBot="1">
      <c r="C13" s="278" t="s">
        <v>229</v>
      </c>
      <c r="D13" s="279"/>
      <c r="E13" s="279"/>
      <c r="F13" s="279"/>
      <c r="G13" s="279"/>
      <c r="H13" s="279"/>
      <c r="I13" s="279"/>
      <c r="J13" s="279"/>
      <c r="K13" s="279"/>
      <c r="L13" s="279"/>
      <c r="M13" s="279"/>
      <c r="N13" s="279"/>
      <c r="O13" s="279"/>
      <c r="P13" s="279"/>
      <c r="Q13" s="279"/>
      <c r="R13" s="280"/>
    </row>
    <row r="14" spans="1:18">
      <c r="C14" s="281"/>
      <c r="D14" s="282"/>
      <c r="E14" s="282"/>
      <c r="F14" s="282"/>
      <c r="G14" s="282"/>
      <c r="H14" s="282"/>
      <c r="I14" s="282"/>
      <c r="J14" s="282"/>
      <c r="K14" s="282"/>
      <c r="L14" s="282"/>
      <c r="M14" s="282"/>
      <c r="N14" s="282"/>
      <c r="O14" s="282"/>
      <c r="P14" s="282"/>
      <c r="Q14" s="282"/>
      <c r="R14" s="283"/>
    </row>
    <row r="15" spans="1:18">
      <c r="C15" s="284" t="s">
        <v>412</v>
      </c>
      <c r="D15" s="285"/>
      <c r="E15" s="285"/>
      <c r="F15" s="285"/>
      <c r="G15" s="285"/>
      <c r="H15" s="285"/>
      <c r="I15" s="285"/>
      <c r="J15" s="285"/>
      <c r="K15" s="285"/>
      <c r="L15" s="285"/>
      <c r="M15" s="285"/>
      <c r="N15" s="285"/>
      <c r="O15" s="285"/>
      <c r="P15" s="285"/>
      <c r="Q15" s="285"/>
      <c r="R15" s="286"/>
    </row>
    <row r="16" spans="1:18">
      <c r="C16" s="287" t="s">
        <v>413</v>
      </c>
      <c r="D16" s="285"/>
      <c r="E16" s="285"/>
      <c r="F16" s="285"/>
      <c r="G16" s="285"/>
      <c r="H16" s="285"/>
      <c r="I16" s="285"/>
      <c r="J16" s="285"/>
      <c r="K16" s="285"/>
      <c r="L16" s="285"/>
      <c r="M16" s="285"/>
      <c r="N16" s="285"/>
      <c r="O16" s="285"/>
      <c r="P16" s="285"/>
      <c r="Q16" s="285"/>
      <c r="R16" s="286"/>
    </row>
    <row r="17" spans="3:18">
      <c r="C17" s="284" t="s">
        <v>414</v>
      </c>
      <c r="D17" s="285"/>
      <c r="E17" s="285"/>
      <c r="F17" s="285"/>
      <c r="G17" s="285"/>
      <c r="H17" s="285"/>
      <c r="I17" s="285"/>
      <c r="J17" s="285"/>
      <c r="K17" s="285"/>
      <c r="L17" s="285"/>
      <c r="M17" s="285"/>
      <c r="N17" s="285"/>
      <c r="O17" s="285"/>
      <c r="P17" s="285"/>
      <c r="Q17" s="285"/>
      <c r="R17" s="286"/>
    </row>
    <row r="18" spans="3:18">
      <c r="C18" s="284"/>
      <c r="D18" s="285"/>
      <c r="E18" s="285"/>
      <c r="F18" s="285"/>
      <c r="G18" s="285"/>
      <c r="H18" s="285"/>
      <c r="I18" s="285"/>
      <c r="J18" s="285"/>
      <c r="K18" s="285"/>
      <c r="L18" s="285"/>
      <c r="M18" s="285"/>
      <c r="N18" s="285"/>
      <c r="O18" s="285"/>
      <c r="P18" s="285"/>
      <c r="Q18" s="285"/>
      <c r="R18" s="286"/>
    </row>
    <row r="19" spans="3:18" ht="14" thickBot="1">
      <c r="C19" s="288"/>
      <c r="D19" s="289"/>
      <c r="E19" s="289"/>
      <c r="F19" s="289"/>
      <c r="G19" s="289"/>
      <c r="H19" s="289"/>
      <c r="I19" s="289"/>
      <c r="J19" s="289"/>
      <c r="K19" s="289"/>
      <c r="L19" s="289"/>
      <c r="M19" s="289"/>
      <c r="N19" s="289"/>
      <c r="O19" s="289"/>
      <c r="P19" s="289"/>
      <c r="Q19" s="289"/>
      <c r="R19" s="290"/>
    </row>
    <row r="20" spans="3:18" ht="15">
      <c r="C20" s="20"/>
      <c r="D20" s="221"/>
      <c r="E20" s="221"/>
      <c r="F20" s="221"/>
      <c r="G20" s="221"/>
      <c r="H20" s="221"/>
      <c r="I20" s="221"/>
      <c r="J20" s="221"/>
      <c r="K20" s="221"/>
      <c r="L20" s="221"/>
      <c r="M20" s="221"/>
      <c r="N20" s="221"/>
      <c r="O20" s="221"/>
      <c r="P20" s="221"/>
      <c r="Q20" s="221"/>
      <c r="R20" s="20"/>
    </row>
    <row r="21" spans="3:18" ht="15">
      <c r="D21" s="221"/>
      <c r="E21" s="221"/>
      <c r="F21" s="221"/>
      <c r="G21" s="221"/>
      <c r="H21" s="221"/>
      <c r="I21" s="221"/>
      <c r="J21" s="221"/>
      <c r="K21" s="221"/>
      <c r="L21" s="221"/>
      <c r="M21" s="221"/>
      <c r="N21" s="221"/>
      <c r="O21" s="221"/>
      <c r="P21" s="221"/>
      <c r="Q21" s="221"/>
    </row>
    <row r="22" spans="3:18" ht="51" customHeight="1">
      <c r="C22" s="291" t="s">
        <v>456</v>
      </c>
      <c r="D22" s="291"/>
      <c r="E22" s="291"/>
      <c r="F22" s="291"/>
      <c r="G22" s="291"/>
      <c r="H22" s="291"/>
      <c r="I22" s="291"/>
      <c r="J22" s="291"/>
      <c r="K22" s="291"/>
      <c r="L22" s="291"/>
      <c r="M22" s="291"/>
      <c r="N22" s="291"/>
      <c r="O22" s="291"/>
      <c r="P22" s="291"/>
      <c r="Q22" s="291"/>
      <c r="R22" s="291"/>
    </row>
    <row r="23" spans="3:18" ht="44" customHeight="1">
      <c r="C23" s="292" t="s">
        <v>457</v>
      </c>
      <c r="D23" s="292"/>
      <c r="E23" s="292"/>
      <c r="F23" s="292"/>
      <c r="G23" s="292"/>
      <c r="H23" s="292"/>
      <c r="I23" s="292"/>
      <c r="J23" s="292"/>
      <c r="K23" s="292"/>
      <c r="L23" s="292"/>
      <c r="M23" s="292"/>
      <c r="N23" s="292"/>
      <c r="O23" s="292"/>
      <c r="P23" s="292"/>
      <c r="Q23" s="292"/>
      <c r="R23" s="292"/>
    </row>
    <row r="24" spans="3:18" ht="58" customHeight="1">
      <c r="C24" s="292" t="s">
        <v>458</v>
      </c>
      <c r="D24" s="292"/>
      <c r="E24" s="292"/>
      <c r="F24" s="292"/>
      <c r="G24" s="292"/>
      <c r="H24" s="292"/>
      <c r="I24" s="292"/>
      <c r="J24" s="292"/>
      <c r="K24" s="292"/>
      <c r="L24" s="292"/>
      <c r="M24" s="292"/>
      <c r="N24" s="292"/>
      <c r="O24" s="292"/>
      <c r="P24" s="292"/>
      <c r="Q24" s="292"/>
      <c r="R24" s="292"/>
    </row>
    <row r="25" spans="3:18" ht="43" customHeight="1">
      <c r="C25" s="292" t="s">
        <v>459</v>
      </c>
      <c r="D25" s="292"/>
      <c r="E25" s="292"/>
      <c r="F25" s="292"/>
      <c r="G25" s="292"/>
      <c r="H25" s="292"/>
      <c r="I25" s="292"/>
      <c r="J25" s="292"/>
      <c r="K25" s="292"/>
      <c r="L25" s="292"/>
      <c r="M25" s="292"/>
      <c r="N25" s="292"/>
      <c r="O25" s="292"/>
      <c r="P25" s="292"/>
      <c r="Q25" s="292"/>
      <c r="R25" s="292"/>
    </row>
    <row r="26" spans="3:18" ht="45" customHeight="1">
      <c r="C26" s="292" t="s">
        <v>477</v>
      </c>
      <c r="D26" s="292"/>
      <c r="E26" s="292"/>
      <c r="F26" s="292"/>
      <c r="G26" s="292"/>
      <c r="H26" s="292"/>
      <c r="I26" s="292"/>
      <c r="J26" s="292"/>
      <c r="K26" s="292"/>
      <c r="L26" s="292"/>
      <c r="M26" s="292"/>
      <c r="N26" s="292"/>
      <c r="O26" s="292"/>
      <c r="P26" s="292"/>
      <c r="Q26" s="292"/>
      <c r="R26" s="292"/>
    </row>
    <row r="27" spans="3:18" ht="15">
      <c r="D27" s="221"/>
      <c r="E27" s="221"/>
      <c r="F27" s="221"/>
      <c r="G27" s="221"/>
      <c r="H27" s="221"/>
      <c r="I27" s="221"/>
      <c r="J27" s="221"/>
      <c r="K27" s="221"/>
      <c r="L27" s="221"/>
      <c r="M27" s="221"/>
      <c r="N27" s="221"/>
      <c r="O27" s="221"/>
      <c r="P27" s="221"/>
      <c r="Q27" s="221"/>
    </row>
    <row r="28" spans="3:18" ht="15">
      <c r="D28" s="221"/>
      <c r="E28" s="221"/>
      <c r="F28" s="221"/>
      <c r="G28" s="221"/>
      <c r="H28" s="221"/>
      <c r="I28" s="221"/>
      <c r="J28" s="221"/>
      <c r="K28" s="221"/>
      <c r="L28" s="221"/>
      <c r="M28" s="221"/>
      <c r="N28" s="221"/>
      <c r="O28" s="221"/>
      <c r="P28" s="221"/>
      <c r="Q28" s="221"/>
    </row>
    <row r="29" spans="3:18" ht="15">
      <c r="D29" s="221"/>
      <c r="E29" s="221"/>
      <c r="F29" s="221"/>
      <c r="G29" s="221"/>
      <c r="H29" s="221"/>
      <c r="I29" s="221"/>
      <c r="J29" s="221"/>
      <c r="K29" s="221"/>
      <c r="L29" s="221"/>
      <c r="M29" s="221"/>
      <c r="N29" s="221"/>
      <c r="O29" s="221"/>
      <c r="P29" s="221"/>
      <c r="Q29" s="221"/>
    </row>
    <row r="30" spans="3:18" ht="15">
      <c r="D30" s="221"/>
      <c r="E30" s="221"/>
      <c r="F30" s="221"/>
      <c r="G30" s="221"/>
      <c r="H30" s="221"/>
      <c r="I30" s="221"/>
      <c r="J30" s="221"/>
      <c r="K30" s="221"/>
      <c r="L30" s="221"/>
      <c r="M30" s="221"/>
      <c r="N30" s="221"/>
      <c r="O30" s="221"/>
      <c r="P30" s="221"/>
      <c r="Q30" s="221"/>
    </row>
    <row r="31" spans="3:18" ht="15">
      <c r="D31" s="221"/>
      <c r="E31" s="221"/>
      <c r="F31" s="221"/>
      <c r="G31" s="221"/>
      <c r="H31" s="221"/>
      <c r="I31" s="221"/>
      <c r="J31" s="221"/>
      <c r="K31" s="221"/>
      <c r="L31" s="221"/>
      <c r="M31" s="221"/>
      <c r="N31" s="221"/>
      <c r="O31" s="221"/>
      <c r="P31" s="221"/>
      <c r="Q31" s="221"/>
    </row>
  </sheetData>
  <mergeCells count="15">
    <mergeCell ref="C22:R22"/>
    <mergeCell ref="C23:R23"/>
    <mergeCell ref="C24:R24"/>
    <mergeCell ref="C25:R25"/>
    <mergeCell ref="C26:R26"/>
    <mergeCell ref="C15:R15"/>
    <mergeCell ref="C16:R16"/>
    <mergeCell ref="C17:R17"/>
    <mergeCell ref="C18:R18"/>
    <mergeCell ref="C19:R19"/>
    <mergeCell ref="C2:R2"/>
    <mergeCell ref="C3:R3"/>
    <mergeCell ref="C11:M11"/>
    <mergeCell ref="C13:R13"/>
    <mergeCell ref="C14:R1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rgb="FF002060"/>
  </sheetPr>
  <dimension ref="C1:M42"/>
  <sheetViews>
    <sheetView showGridLines="0" zoomScale="140" zoomScaleNormal="140" workbookViewId="0">
      <selection activeCell="E13" sqref="E13"/>
    </sheetView>
  </sheetViews>
  <sheetFormatPr baseColWidth="10" defaultColWidth="9.1640625" defaultRowHeight="14"/>
  <cols>
    <col min="1" max="1" width="9.1640625" style="3"/>
    <col min="2" max="2" width="5" style="3" customWidth="1"/>
    <col min="3" max="3" width="32" style="3" bestFit="1" customWidth="1"/>
    <col min="4" max="4" width="12.33203125" style="3" customWidth="1"/>
    <col min="5" max="12" width="10.6640625" style="3" customWidth="1"/>
    <col min="13" max="13" width="10.83203125" style="3" bestFit="1" customWidth="1"/>
    <col min="14" max="16384" width="9.1640625" style="3"/>
  </cols>
  <sheetData>
    <row r="1" spans="3:13" ht="15" thickBot="1"/>
    <row r="2" spans="3:13" ht="14.25" customHeight="1">
      <c r="C2" s="293" t="s">
        <v>409</v>
      </c>
      <c r="D2" s="294"/>
      <c r="E2" s="294"/>
      <c r="F2" s="294"/>
      <c r="G2" s="294"/>
      <c r="H2" s="294"/>
      <c r="I2" s="294"/>
      <c r="J2" s="294"/>
      <c r="K2" s="294"/>
      <c r="L2" s="294"/>
      <c r="M2" s="295"/>
    </row>
    <row r="3" spans="3:13" ht="14.25" customHeight="1">
      <c r="C3" s="296"/>
      <c r="D3" s="297"/>
      <c r="E3" s="297"/>
      <c r="F3" s="297"/>
      <c r="G3" s="297"/>
      <c r="H3" s="297"/>
      <c r="I3" s="297"/>
      <c r="J3" s="297"/>
      <c r="K3" s="297"/>
      <c r="L3" s="297"/>
      <c r="M3" s="298"/>
    </row>
    <row r="4" spans="3:13" ht="15" customHeight="1" thickBot="1">
      <c r="C4" s="299"/>
      <c r="D4" s="300"/>
      <c r="E4" s="300"/>
      <c r="F4" s="300"/>
      <c r="G4" s="300"/>
      <c r="H4" s="300"/>
      <c r="I4" s="300"/>
      <c r="J4" s="300"/>
      <c r="K4" s="300"/>
      <c r="L4" s="300"/>
      <c r="M4" s="301"/>
    </row>
    <row r="5" spans="3:13" ht="15" thickBot="1">
      <c r="M5" s="3" t="s">
        <v>310</v>
      </c>
    </row>
    <row r="6" spans="3:13">
      <c r="C6" s="302" t="s">
        <v>200</v>
      </c>
      <c r="D6" s="303"/>
      <c r="E6" s="303"/>
      <c r="F6" s="303"/>
      <c r="G6" s="303"/>
      <c r="H6" s="303"/>
      <c r="I6" s="303"/>
      <c r="J6" s="303"/>
      <c r="K6" s="303"/>
      <c r="L6" s="303"/>
      <c r="M6" s="304"/>
    </row>
    <row r="7" spans="3:13">
      <c r="C7" s="212" t="s">
        <v>133</v>
      </c>
      <c r="D7" s="203"/>
      <c r="E7" s="200">
        <f>'Project Cost'!C21</f>
        <v>178.18624063333334</v>
      </c>
      <c r="F7" s="201"/>
      <c r="H7" s="210" t="s">
        <v>2</v>
      </c>
      <c r="I7" s="203"/>
      <c r="J7" s="203"/>
      <c r="K7" s="203"/>
      <c r="L7" s="201">
        <f>Assumptions!E6</f>
        <v>44044</v>
      </c>
      <c r="M7" s="5"/>
    </row>
    <row r="8" spans="3:13">
      <c r="C8" s="212" t="s">
        <v>14</v>
      </c>
      <c r="D8" s="203"/>
      <c r="H8" s="202" t="s">
        <v>9</v>
      </c>
      <c r="L8" s="3">
        <f>Assumptions!E7</f>
        <v>5</v>
      </c>
      <c r="M8" s="5"/>
    </row>
    <row r="9" spans="3:13">
      <c r="C9" s="4" t="s">
        <v>143</v>
      </c>
      <c r="E9" s="205">
        <f>Assumptions!E35</f>
        <v>115</v>
      </c>
      <c r="H9" s="202" t="s">
        <v>3</v>
      </c>
      <c r="L9" s="204">
        <f>Assumptions!E8</f>
        <v>44196</v>
      </c>
      <c r="M9" s="5"/>
    </row>
    <row r="10" spans="3:13">
      <c r="C10" s="4" t="s">
        <v>15</v>
      </c>
      <c r="E10" s="205">
        <f>E11+E12</f>
        <v>63.186240633333341</v>
      </c>
      <c r="H10" s="210" t="s">
        <v>4</v>
      </c>
      <c r="I10" s="203"/>
      <c r="J10" s="203"/>
      <c r="K10" s="203"/>
      <c r="L10" s="201">
        <f>Assumptions!E9</f>
        <v>44197</v>
      </c>
      <c r="M10" s="5"/>
    </row>
    <row r="11" spans="3:13">
      <c r="C11" s="213" t="s">
        <v>58</v>
      </c>
      <c r="D11" s="209"/>
      <c r="E11" s="206">
        <f>Assumptions!E33</f>
        <v>43.186240633333341</v>
      </c>
      <c r="F11" s="203"/>
      <c r="H11" s="3" t="s">
        <v>264</v>
      </c>
      <c r="L11" s="3">
        <f>Assumptions!E45</f>
        <v>6</v>
      </c>
      <c r="M11" s="5"/>
    </row>
    <row r="12" spans="3:13">
      <c r="C12" s="213" t="s">
        <v>263</v>
      </c>
      <c r="D12" s="209"/>
      <c r="E12" s="206">
        <f>Assumptions!E34</f>
        <v>20</v>
      </c>
      <c r="H12" s="3" t="s">
        <v>23</v>
      </c>
      <c r="L12" s="207">
        <f>Assumptions!E46</f>
        <v>44408</v>
      </c>
      <c r="M12" s="5"/>
    </row>
    <row r="13" spans="3:13">
      <c r="C13" s="212" t="s">
        <v>176</v>
      </c>
      <c r="D13" s="203"/>
      <c r="E13" s="239">
        <f>Assumptions!E37</f>
        <v>1.8200164916811457</v>
      </c>
      <c r="H13" s="3" t="s">
        <v>24</v>
      </c>
      <c r="I13" s="209"/>
      <c r="J13" s="209"/>
      <c r="L13" s="207">
        <f>Assumptions!E47</f>
        <v>46934</v>
      </c>
      <c r="M13" s="5"/>
    </row>
    <row r="14" spans="3:13">
      <c r="C14" s="212" t="s">
        <v>454</v>
      </c>
      <c r="E14" s="203">
        <f>WC!E20</f>
        <v>78.571221900000012</v>
      </c>
      <c r="H14" s="3" t="s">
        <v>265</v>
      </c>
      <c r="L14" s="3">
        <f>Assumptions!E48</f>
        <v>84</v>
      </c>
      <c r="M14" s="5"/>
    </row>
    <row r="15" spans="3:13" ht="15" thickBot="1">
      <c r="C15" s="6"/>
      <c r="D15" s="214"/>
      <c r="E15" s="214"/>
      <c r="F15" s="214"/>
      <c r="G15" s="214"/>
      <c r="H15" s="214" t="s">
        <v>407</v>
      </c>
      <c r="I15" s="214"/>
      <c r="J15" s="214"/>
      <c r="K15" s="214"/>
      <c r="L15" s="238">
        <f>Assumptions!E49</f>
        <v>7.9138888888888888</v>
      </c>
      <c r="M15" s="215"/>
    </row>
    <row r="16" spans="3:13" ht="15" thickBot="1">
      <c r="C16" s="305" t="s">
        <v>411</v>
      </c>
      <c r="D16" s="306"/>
      <c r="E16" s="306"/>
      <c r="F16" s="306"/>
      <c r="G16" s="306"/>
      <c r="H16" s="306"/>
      <c r="I16" s="306"/>
      <c r="J16" s="306"/>
      <c r="K16" s="306"/>
      <c r="L16" s="306"/>
      <c r="M16" s="306"/>
    </row>
    <row r="17" spans="3:13">
      <c r="C17" s="216" t="s">
        <v>134</v>
      </c>
      <c r="D17" s="217">
        <f>PL!D4</f>
        <v>44286</v>
      </c>
      <c r="E17" s="217">
        <f>PL!E4</f>
        <v>44651</v>
      </c>
      <c r="F17" s="217">
        <f>PL!F4</f>
        <v>45016</v>
      </c>
      <c r="G17" s="217">
        <f>PL!G4</f>
        <v>45382</v>
      </c>
      <c r="H17" s="217">
        <f>PL!H4</f>
        <v>45747</v>
      </c>
      <c r="I17" s="217">
        <f>PL!I4</f>
        <v>46112</v>
      </c>
      <c r="J17" s="217">
        <f>PL!J4</f>
        <v>46477</v>
      </c>
      <c r="K17" s="217">
        <f>PL!K4</f>
        <v>46843</v>
      </c>
      <c r="L17" s="217">
        <f>PL!L4</f>
        <v>47208</v>
      </c>
      <c r="M17" s="218">
        <f>PL!M4</f>
        <v>47573</v>
      </c>
    </row>
    <row r="18" spans="3:13">
      <c r="C18" s="4" t="s">
        <v>410</v>
      </c>
      <c r="D18" s="3">
        <f>CoP!E7</f>
        <v>3600</v>
      </c>
      <c r="E18" s="3">
        <f>CoP!F7</f>
        <v>3600</v>
      </c>
      <c r="F18" s="3">
        <f>CoP!G7</f>
        <v>3600</v>
      </c>
      <c r="G18" s="3">
        <f>CoP!H7</f>
        <v>3600</v>
      </c>
      <c r="H18" s="3">
        <f>CoP!I7</f>
        <v>3600</v>
      </c>
      <c r="I18" s="3">
        <f>CoP!J7</f>
        <v>3600</v>
      </c>
      <c r="J18" s="3">
        <f>CoP!K7</f>
        <v>3600</v>
      </c>
      <c r="K18" s="3">
        <f>CoP!L7</f>
        <v>3600</v>
      </c>
      <c r="L18" s="3">
        <f>CoP!M7</f>
        <v>3600</v>
      </c>
      <c r="M18" s="5">
        <f>CoP!N7</f>
        <v>3600</v>
      </c>
    </row>
    <row r="19" spans="3:13">
      <c r="C19" s="4" t="s">
        <v>36</v>
      </c>
      <c r="D19" s="3">
        <f>CoP!E5</f>
        <v>3</v>
      </c>
      <c r="E19" s="3">
        <f>CoP!F5</f>
        <v>12</v>
      </c>
      <c r="F19" s="3">
        <f>CoP!G5</f>
        <v>12</v>
      </c>
      <c r="G19" s="3">
        <f>CoP!H5</f>
        <v>12</v>
      </c>
      <c r="H19" s="3">
        <f>CoP!I5</f>
        <v>12</v>
      </c>
      <c r="I19" s="3">
        <f>CoP!J5</f>
        <v>12</v>
      </c>
      <c r="J19" s="3">
        <f>CoP!K5</f>
        <v>12</v>
      </c>
      <c r="K19" s="3">
        <f>CoP!L5</f>
        <v>12</v>
      </c>
      <c r="L19" s="3">
        <f>CoP!M5</f>
        <v>12</v>
      </c>
      <c r="M19" s="5">
        <f>CoP!N5</f>
        <v>12</v>
      </c>
    </row>
    <row r="20" spans="3:13">
      <c r="C20" s="4" t="s">
        <v>39</v>
      </c>
      <c r="D20" s="211">
        <f>CoP!E9</f>
        <v>0.3</v>
      </c>
      <c r="E20" s="211">
        <f>CoP!F9</f>
        <v>0.35</v>
      </c>
      <c r="F20" s="211">
        <f>CoP!G9</f>
        <v>0.45</v>
      </c>
      <c r="G20" s="211">
        <f>CoP!H9</f>
        <v>0.55000000000000004</v>
      </c>
      <c r="H20" s="211">
        <f>CoP!I9</f>
        <v>0.65</v>
      </c>
      <c r="I20" s="211">
        <f>CoP!J9</f>
        <v>0.75</v>
      </c>
      <c r="J20" s="211">
        <f>CoP!K9</f>
        <v>0.75</v>
      </c>
      <c r="K20" s="211">
        <f>CoP!L9</f>
        <v>0.75</v>
      </c>
      <c r="L20" s="211">
        <f>CoP!M9</f>
        <v>0.75</v>
      </c>
      <c r="M20" s="219">
        <f>CoP!N9</f>
        <v>0.75</v>
      </c>
    </row>
    <row r="21" spans="3:13">
      <c r="C21" s="4" t="s">
        <v>47</v>
      </c>
      <c r="D21" s="153">
        <f>PL!D10</f>
        <v>160.89192</v>
      </c>
      <c r="E21" s="153">
        <f>PL!E10</f>
        <v>984.71645999999998</v>
      </c>
      <c r="F21" s="153">
        <f>PL!F10</f>
        <v>1259.87652</v>
      </c>
      <c r="G21" s="153">
        <f>PL!G10</f>
        <v>1543.6990800000003</v>
      </c>
      <c r="H21" s="153">
        <f>PL!H10</f>
        <v>1827.5216399999999</v>
      </c>
      <c r="I21" s="153">
        <f>PL!I10</f>
        <v>2111.3442</v>
      </c>
      <c r="J21" s="153">
        <f>PL!J10</f>
        <v>2128.6691999999998</v>
      </c>
      <c r="K21" s="153">
        <f>PL!K10</f>
        <v>2128.6691999999998</v>
      </c>
      <c r="L21" s="153">
        <f>PL!L10</f>
        <v>2128.6691999999998</v>
      </c>
      <c r="M21" s="220">
        <f>PL!M10</f>
        <v>2128.6691999999998</v>
      </c>
    </row>
    <row r="22" spans="3:13">
      <c r="C22" s="4" t="s">
        <v>50</v>
      </c>
      <c r="D22" s="153">
        <f>PL!D31</f>
        <v>7.4629123999999933</v>
      </c>
      <c r="E22" s="153">
        <f>PL!E31</f>
        <v>82.094516200000157</v>
      </c>
      <c r="F22" s="153">
        <f>PL!F31</f>
        <v>117.18738315000041</v>
      </c>
      <c r="G22" s="153">
        <f>PL!G31</f>
        <v>154.04324928749975</v>
      </c>
      <c r="H22" s="153">
        <f>PL!H31</f>
        <v>190.57715082187406</v>
      </c>
      <c r="I22" s="153">
        <f>PL!I31</f>
        <v>226.76215314796877</v>
      </c>
      <c r="J22" s="153">
        <f>PL!J31</f>
        <v>225.56150809286692</v>
      </c>
      <c r="K22" s="153">
        <f>PL!K31</f>
        <v>219.83007363376009</v>
      </c>
      <c r="L22" s="153">
        <f>PL!L31</f>
        <v>213.65341208532345</v>
      </c>
      <c r="M22" s="220">
        <f>PL!M31</f>
        <v>206.9933965564519</v>
      </c>
    </row>
    <row r="23" spans="3:13">
      <c r="C23" s="4" t="s">
        <v>53</v>
      </c>
      <c r="D23" s="153">
        <f>PL!D39</f>
        <v>-1.3533471197719074</v>
      </c>
      <c r="E23" s="153">
        <f>PL!E39</f>
        <v>46.124405448912562</v>
      </c>
      <c r="F23" s="153">
        <f>PL!F39</f>
        <v>78.41601100741282</v>
      </c>
      <c r="G23" s="153">
        <f>PL!G39</f>
        <v>112.37434063903716</v>
      </c>
      <c r="H23" s="153">
        <f>PL!H39</f>
        <v>146.00912953494273</v>
      </c>
      <c r="I23" s="153">
        <f>PL!I39</f>
        <v>179.29331119459528</v>
      </c>
      <c r="J23" s="153">
        <f>PL!J39</f>
        <v>179.22464150005408</v>
      </c>
      <c r="K23" s="153">
        <f>PL!K39</f>
        <v>175.05587240831619</v>
      </c>
      <c r="L23" s="153">
        <f>PL!L39</f>
        <v>170.2975051536533</v>
      </c>
      <c r="M23" s="220">
        <f>PL!M39</f>
        <v>164.63809699059186</v>
      </c>
    </row>
    <row r="24" spans="3:13">
      <c r="C24" s="4" t="s">
        <v>56</v>
      </c>
      <c r="D24" s="153">
        <f>PL!D43</f>
        <v>-1.3533471197719074</v>
      </c>
      <c r="E24" s="153">
        <f>PL!E43</f>
        <v>34.515815085530249</v>
      </c>
      <c r="F24" s="153">
        <f>PL!F43</f>
        <v>58.680269357067161</v>
      </c>
      <c r="G24" s="153">
        <f>PL!G43</f>
        <v>84.091966587004279</v>
      </c>
      <c r="H24" s="153">
        <f>PL!H43</f>
        <v>109.26155181358834</v>
      </c>
      <c r="I24" s="153">
        <f>PL!I43</f>
        <v>134.16877063313953</v>
      </c>
      <c r="J24" s="153">
        <f>PL!J43</f>
        <v>134.11738372732046</v>
      </c>
      <c r="K24" s="153">
        <f>PL!K43</f>
        <v>130.99781044059117</v>
      </c>
      <c r="L24" s="153">
        <f>PL!L43</f>
        <v>127.43702905658182</v>
      </c>
      <c r="M24" s="220">
        <f>PL!M43</f>
        <v>123.2019807399997</v>
      </c>
    </row>
    <row r="25" spans="3:13">
      <c r="C25" s="4" t="s">
        <v>114</v>
      </c>
      <c r="D25" s="153">
        <f>PL!D46</f>
        <v>1.0522074144999922</v>
      </c>
      <c r="E25" s="153">
        <f>PL!E46</f>
        <v>49.194401423082113</v>
      </c>
      <c r="F25" s="153">
        <f>PL!F46</f>
        <v>70.095955363700952</v>
      </c>
      <c r="G25" s="153">
        <f>PL!G46</f>
        <v>94.857866232218356</v>
      </c>
      <c r="H25" s="153">
        <f>PL!H46</f>
        <v>119.48675426747204</v>
      </c>
      <c r="I25" s="153">
        <f>PL!I46</f>
        <v>143.93891733126793</v>
      </c>
      <c r="J25" s="153">
        <f>PL!J46</f>
        <v>143.50244730927949</v>
      </c>
      <c r="K25" s="153">
        <f>PL!K46</f>
        <v>139.94149488106657</v>
      </c>
      <c r="L25" s="153">
        <f>PL!L46</f>
        <v>136.09490450918801</v>
      </c>
      <c r="M25" s="220">
        <f>PL!M46</f>
        <v>131.62391980420659</v>
      </c>
    </row>
    <row r="26" spans="3:13">
      <c r="C26" s="4"/>
      <c r="M26" s="5"/>
    </row>
    <row r="27" spans="3:13">
      <c r="C27" s="4" t="s">
        <v>106</v>
      </c>
      <c r="D27" s="211">
        <f>PL!D32</f>
        <v>4.6384631372414435E-2</v>
      </c>
      <c r="E27" s="211">
        <f>PL!E32</f>
        <v>8.3368684829336723E-2</v>
      </c>
      <c r="F27" s="211">
        <f>PL!F32</f>
        <v>9.3014975110418285E-2</v>
      </c>
      <c r="G27" s="211">
        <f>PL!G32</f>
        <v>9.9788392234773968E-2</v>
      </c>
      <c r="H27" s="211">
        <f>PL!H32</f>
        <v>0.10428174783302378</v>
      </c>
      <c r="I27" s="211">
        <f>PL!I32</f>
        <v>0.10740179320262834</v>
      </c>
      <c r="J27" s="211">
        <f>PL!J32</f>
        <v>0.10596362651973681</v>
      </c>
      <c r="K27" s="211">
        <f>PL!K32</f>
        <v>0.10327112997818548</v>
      </c>
      <c r="L27" s="211">
        <f>PL!L32</f>
        <v>0.10036947595489401</v>
      </c>
      <c r="M27" s="219">
        <f>PL!M32</f>
        <v>9.7240753310308584E-2</v>
      </c>
    </row>
    <row r="28" spans="3:13">
      <c r="C28" s="4" t="s">
        <v>199</v>
      </c>
      <c r="D28" s="211">
        <f>PL!D44</f>
        <v>0</v>
      </c>
      <c r="E28" s="211">
        <f>PL!E44</f>
        <v>0</v>
      </c>
      <c r="F28" s="211">
        <f>PL!F44</f>
        <v>0</v>
      </c>
      <c r="G28" s="211">
        <f>PL!G44</f>
        <v>0</v>
      </c>
      <c r="H28" s="211">
        <f>PL!H44</f>
        <v>0</v>
      </c>
      <c r="I28" s="211">
        <f>PL!I44</f>
        <v>0</v>
      </c>
      <c r="J28" s="211">
        <f>PL!J44</f>
        <v>0</v>
      </c>
      <c r="K28" s="211">
        <f>PL!K44</f>
        <v>0</v>
      </c>
      <c r="L28" s="211">
        <f>PL!L44</f>
        <v>0</v>
      </c>
      <c r="M28" s="219">
        <f>PL!M44</f>
        <v>0</v>
      </c>
    </row>
    <row r="29" spans="3:13">
      <c r="C29" s="4" t="s">
        <v>172</v>
      </c>
      <c r="D29" s="153">
        <f>Ratio!D14</f>
        <v>1.3659851876521711</v>
      </c>
      <c r="E29" s="153">
        <f>Ratio!E14</f>
        <v>2.7558730049654541</v>
      </c>
      <c r="F29" s="153">
        <f>Ratio!F14</f>
        <v>3.3141733570907612</v>
      </c>
      <c r="G29" s="153">
        <f>Ratio!G14</f>
        <v>4.5547987845838369</v>
      </c>
      <c r="H29" s="153">
        <f>Ratio!H14</f>
        <v>5.9573708718630929</v>
      </c>
      <c r="I29" s="153">
        <f>Ratio!I14</f>
        <v>7.5550124183408363</v>
      </c>
      <c r="J29" s="153">
        <f>Ratio!J14</f>
        <v>8.0453168182386161</v>
      </c>
      <c r="K29" s="153">
        <f>Ratio!K14</f>
        <v>8.434094054013201</v>
      </c>
      <c r="L29" s="153">
        <f>Ratio!L14</f>
        <v>8.8767177842144012</v>
      </c>
      <c r="M29" s="220">
        <f>Ratio!M14</f>
        <v>9.0557497235311359</v>
      </c>
    </row>
    <row r="30" spans="3:13">
      <c r="C30" s="4" t="s">
        <v>173</v>
      </c>
      <c r="D30" s="205">
        <f>Ratio!D15</f>
        <v>0</v>
      </c>
      <c r="E30" s="205"/>
      <c r="F30" s="205"/>
      <c r="G30" s="205"/>
      <c r="H30" s="205"/>
      <c r="I30" s="205"/>
      <c r="J30" s="205"/>
      <c r="K30" s="205"/>
      <c r="L30" s="205"/>
      <c r="M30" s="5"/>
    </row>
    <row r="31" spans="3:13" ht="15" thickBot="1">
      <c r="C31" s="6" t="s">
        <v>174</v>
      </c>
      <c r="D31" s="7">
        <f>Ratio!D16</f>
        <v>0</v>
      </c>
      <c r="E31" s="7"/>
      <c r="F31" s="7"/>
      <c r="G31" s="7"/>
      <c r="H31" s="7"/>
      <c r="I31" s="7"/>
      <c r="J31" s="7"/>
      <c r="K31" s="7"/>
      <c r="L31" s="7"/>
      <c r="M31" s="215"/>
    </row>
    <row r="32" spans="3:13">
      <c r="D32" s="205"/>
      <c r="E32" s="205"/>
      <c r="F32" s="205"/>
      <c r="G32" s="205"/>
      <c r="H32" s="205"/>
      <c r="I32" s="205"/>
      <c r="J32" s="205"/>
      <c r="K32" s="205"/>
      <c r="L32" s="205"/>
    </row>
    <row r="33" spans="3:13" ht="15" thickBot="1">
      <c r="C33" s="203" t="s">
        <v>447</v>
      </c>
    </row>
    <row r="34" spans="3:13">
      <c r="C34" s="228" t="s">
        <v>448</v>
      </c>
      <c r="D34" s="229">
        <f>KFR!D28</f>
        <v>1.1216274868000247</v>
      </c>
      <c r="E34" s="229">
        <f>KFR!E28</f>
        <v>1.2775176074350547</v>
      </c>
      <c r="F34" s="229">
        <f>KFR!F28</f>
        <v>1.4604606266998328</v>
      </c>
      <c r="G34" s="229">
        <f>KFR!G28</f>
        <v>1.6677537657819166</v>
      </c>
      <c r="H34" s="229">
        <f>KFR!H28</f>
        <v>1.8888872691159764</v>
      </c>
      <c r="I34" s="229">
        <f>KFR!I28</f>
        <v>2.118044228154079</v>
      </c>
      <c r="J34" s="229">
        <f>KFR!J28</f>
        <v>2.4531751470475096</v>
      </c>
      <c r="K34" s="229">
        <f>KFR!K28</f>
        <v>2.7830654133910917</v>
      </c>
      <c r="L34" s="229">
        <f>KFR!L28</f>
        <v>3.1929464476659728</v>
      </c>
      <c r="M34" s="230">
        <f>KFR!M28</f>
        <v>3.5727390773416876</v>
      </c>
    </row>
    <row r="35" spans="3:13">
      <c r="C35" s="4"/>
      <c r="D35" s="153">
        <f>KFR!D29</f>
        <v>0</v>
      </c>
      <c r="E35" s="153">
        <f>KFR!E29</f>
        <v>0</v>
      </c>
      <c r="F35" s="153">
        <f>KFR!F29</f>
        <v>0</v>
      </c>
      <c r="G35" s="153">
        <f>KFR!G29</f>
        <v>0</v>
      </c>
      <c r="H35" s="153">
        <f>KFR!H29</f>
        <v>0</v>
      </c>
      <c r="I35" s="153">
        <f>KFR!I29</f>
        <v>0</v>
      </c>
      <c r="J35" s="153">
        <f>KFR!J29</f>
        <v>0</v>
      </c>
      <c r="K35" s="153">
        <f>KFR!K29</f>
        <v>0</v>
      </c>
      <c r="L35" s="153">
        <f>KFR!L29</f>
        <v>0</v>
      </c>
      <c r="M35" s="220">
        <f>KFR!M29</f>
        <v>0</v>
      </c>
    </row>
    <row r="36" spans="3:13">
      <c r="C36" s="4" t="s">
        <v>449</v>
      </c>
      <c r="D36" s="153">
        <f>KFR!D40</f>
        <v>1.8598515040344632</v>
      </c>
      <c r="E36" s="153">
        <f>KFR!E40</f>
        <v>1.0816828945124288</v>
      </c>
      <c r="F36" s="153">
        <f>KFR!F40</f>
        <v>0.57952875123389658</v>
      </c>
      <c r="G36" s="153">
        <f>KFR!G40</f>
        <v>0.31560911631635569</v>
      </c>
      <c r="H36" s="153">
        <f>KFR!H40</f>
        <v>0.17536400547930697</v>
      </c>
      <c r="I36" s="153">
        <f>KFR!I40</f>
        <v>9.6816137881943903E-2</v>
      </c>
      <c r="J36" s="153">
        <f>KFR!J40</f>
        <v>5.244915557549891E-2</v>
      </c>
      <c r="K36" s="153">
        <f>KFR!K40</f>
        <v>2.4033109592978708E-2</v>
      </c>
      <c r="L36" s="153">
        <f>KFR!L40</f>
        <v>4.1066571441963177E-3</v>
      </c>
      <c r="M36" s="220">
        <f>KFR!M40</f>
        <v>3.4252911712248142E-17</v>
      </c>
    </row>
    <row r="37" spans="3:13">
      <c r="C37" s="4" t="s">
        <v>193</v>
      </c>
      <c r="D37" s="208">
        <f>KFR!D39</f>
        <v>0</v>
      </c>
      <c r="E37" s="208">
        <f>KFR!E39</f>
        <v>0</v>
      </c>
      <c r="F37" s="208">
        <f>KFR!F39</f>
        <v>0</v>
      </c>
      <c r="G37" s="208">
        <f>KFR!G39</f>
        <v>0</v>
      </c>
      <c r="H37" s="208">
        <f>KFR!H39</f>
        <v>0</v>
      </c>
      <c r="I37" s="208">
        <f>KFR!I39</f>
        <v>0</v>
      </c>
      <c r="J37" s="208">
        <f>KFR!J39</f>
        <v>0</v>
      </c>
      <c r="K37" s="208">
        <f>KFR!K39</f>
        <v>0</v>
      </c>
      <c r="L37" s="208">
        <f>KFR!L39</f>
        <v>0</v>
      </c>
      <c r="M37" s="231">
        <f>KFR!M39</f>
        <v>0</v>
      </c>
    </row>
    <row r="38" spans="3:13">
      <c r="C38" s="4" t="s">
        <v>189</v>
      </c>
      <c r="D38" s="153">
        <f>KFR!D34</f>
        <v>1.300785033035317</v>
      </c>
      <c r="E38" s="153">
        <f>KFR!E34</f>
        <v>1.3430218714192395</v>
      </c>
      <c r="F38" s="153">
        <f>KFR!F34</f>
        <v>1.4508058994074293</v>
      </c>
      <c r="G38" s="153">
        <f>KFR!G34</f>
        <v>1.5996505094863589</v>
      </c>
      <c r="H38" s="153">
        <f>KFR!H34</f>
        <v>1.8185396419553725</v>
      </c>
      <c r="I38" s="153">
        <f>KFR!I34</f>
        <v>2.1721297790207021</v>
      </c>
      <c r="J38" s="153">
        <f>KFR!J34</f>
        <v>2.8400222601441016</v>
      </c>
      <c r="K38" s="153">
        <f>KFR!K34</f>
        <v>4.5850694540238353</v>
      </c>
      <c r="L38" s="153">
        <f>KFR!L34</f>
        <v>20.293561632289467</v>
      </c>
      <c r="M38" s="220">
        <f>KFR!M34</f>
        <v>1856185124907761.5</v>
      </c>
    </row>
    <row r="39" spans="3:13">
      <c r="C39" s="4" t="s">
        <v>453</v>
      </c>
      <c r="D39" s="153">
        <f>KFR!D35</f>
        <v>0</v>
      </c>
      <c r="E39" s="153">
        <f>KFR!E35</f>
        <v>0</v>
      </c>
      <c r="F39" s="153">
        <f>KFR!F35</f>
        <v>0</v>
      </c>
      <c r="G39" s="153">
        <f>KFR!G35</f>
        <v>0</v>
      </c>
      <c r="H39" s="153">
        <f>KFR!H35</f>
        <v>0</v>
      </c>
      <c r="I39" s="153">
        <f>KFR!I35</f>
        <v>0</v>
      </c>
      <c r="J39" s="153">
        <f>KFR!J35</f>
        <v>0</v>
      </c>
      <c r="K39" s="153">
        <f>KFR!K35</f>
        <v>0</v>
      </c>
      <c r="L39" s="153">
        <f>KFR!L35</f>
        <v>0</v>
      </c>
      <c r="M39" s="153">
        <f>KFR!M35</f>
        <v>0</v>
      </c>
    </row>
    <row r="40" spans="3:13" ht="15" thickBot="1">
      <c r="C40" s="6" t="s">
        <v>450</v>
      </c>
      <c r="D40" s="232">
        <f>KFR!D30</f>
        <v>0.78889262213236078</v>
      </c>
      <c r="E40" s="232">
        <f>KFR!E30</f>
        <v>2.7505918262473972</v>
      </c>
      <c r="F40" s="232">
        <f>KFR!F30</f>
        <v>3.6901642151472709</v>
      </c>
      <c r="G40" s="232">
        <f>KFR!G30</f>
        <v>4.5065817669737172</v>
      </c>
      <c r="H40" s="232">
        <f>KFR!H30</f>
        <v>5.1781592172562689</v>
      </c>
      <c r="I40" s="232">
        <f>KFR!I30</f>
        <v>5.7373660611027324</v>
      </c>
      <c r="J40" s="232">
        <f>KFR!J30</f>
        <v>5.8815567910498698</v>
      </c>
      <c r="K40" s="232">
        <f>KFR!K30</f>
        <v>5.9583597407911064</v>
      </c>
      <c r="L40" s="232">
        <f>KFR!L30</f>
        <v>6.0238323915207159</v>
      </c>
      <c r="M40" s="233">
        <f>KFR!M30</f>
        <v>6.0046051575436632</v>
      </c>
    </row>
    <row r="42" spans="3:13">
      <c r="C42" s="234" t="s">
        <v>451</v>
      </c>
      <c r="D42" s="235">
        <f>CF!D21</f>
        <v>1.0522074144999465</v>
      </c>
      <c r="E42" s="235">
        <f>CF!E21</f>
        <v>23.288573112582071</v>
      </c>
      <c r="F42" s="235">
        <f>CF!F21</f>
        <v>67.359974263783016</v>
      </c>
      <c r="G42" s="235">
        <f>CF!G21</f>
        <v>135.80107242412637</v>
      </c>
      <c r="H42" s="235">
        <f>CF!H21</f>
        <v>228.86668047362966</v>
      </c>
      <c r="I42" s="235">
        <f>CF!I21</f>
        <v>346.3797070647804</v>
      </c>
      <c r="J42" s="235">
        <f>CF!J21</f>
        <v>474.65847482006188</v>
      </c>
      <c r="K42" s="235">
        <f>CF!K21</f>
        <v>600.14705429786795</v>
      </c>
      <c r="L42" s="235">
        <f>CF!L21</f>
        <v>721.78298854366381</v>
      </c>
      <c r="M42" s="236">
        <f>CF!M21</f>
        <v>849.72261457234299</v>
      </c>
    </row>
  </sheetData>
  <mergeCells count="3">
    <mergeCell ref="C2:M4"/>
    <mergeCell ref="C6:M6"/>
    <mergeCell ref="C16:M16"/>
  </mergeCells>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002060"/>
  </sheetPr>
  <dimension ref="C2:N151"/>
  <sheetViews>
    <sheetView showGridLines="0" topLeftCell="C84" zoomScale="210" zoomScaleNormal="210" workbookViewId="0">
      <selection activeCell="E90" sqref="E90"/>
    </sheetView>
  </sheetViews>
  <sheetFormatPr baseColWidth="10" defaultColWidth="9.1640625" defaultRowHeight="13"/>
  <cols>
    <col min="1" max="1" width="4.33203125" style="2" customWidth="1"/>
    <col min="2" max="2" width="3.5" style="2" customWidth="1"/>
    <col min="3" max="3" width="47" style="2" bestFit="1" customWidth="1"/>
    <col min="4" max="4" width="14.33203125" style="2" customWidth="1"/>
    <col min="5" max="5" width="10.6640625" style="2" customWidth="1"/>
    <col min="6" max="6" width="11" style="2" customWidth="1"/>
    <col min="7" max="7" width="12.6640625" style="2" customWidth="1"/>
    <col min="8" max="8" width="10.6640625" style="2" bestFit="1" customWidth="1"/>
    <col min="9" max="14" width="10.1640625" style="2" bestFit="1" customWidth="1"/>
    <col min="15" max="15" width="10.33203125" style="2" bestFit="1" customWidth="1"/>
    <col min="16" max="18" width="10.1640625" style="2" bestFit="1" customWidth="1"/>
    <col min="19" max="19" width="10.33203125" style="2" bestFit="1" customWidth="1"/>
    <col min="20" max="22" width="10.1640625" style="2" bestFit="1" customWidth="1"/>
    <col min="23" max="23" width="10.33203125" style="2" bestFit="1" customWidth="1"/>
    <col min="24" max="26" width="10.1640625" style="2" bestFit="1" customWidth="1"/>
    <col min="27" max="27" width="10.33203125" style="2" bestFit="1" customWidth="1"/>
    <col min="28" max="30" width="10.1640625" style="2" bestFit="1" customWidth="1"/>
    <col min="31" max="31" width="10.33203125" style="2" bestFit="1" customWidth="1"/>
    <col min="32" max="34" width="10.1640625" style="2" bestFit="1" customWidth="1"/>
    <col min="35" max="35" width="10.33203125" style="2" bestFit="1" customWidth="1"/>
    <col min="36" max="38" width="10.1640625" style="2" bestFit="1" customWidth="1"/>
    <col min="39" max="39" width="10.33203125" style="2" bestFit="1" customWidth="1"/>
    <col min="40" max="41" width="10.1640625" style="2" bestFit="1" customWidth="1"/>
    <col min="42" max="16384" width="9.1640625" style="2"/>
  </cols>
  <sheetData>
    <row r="2" spans="3:9">
      <c r="C2" s="39" t="s">
        <v>94</v>
      </c>
    </row>
    <row r="4" spans="3:9">
      <c r="C4" s="37" t="s">
        <v>1</v>
      </c>
      <c r="D4" s="37"/>
      <c r="E4" s="38"/>
    </row>
    <row r="5" spans="3:9">
      <c r="C5" s="32" t="s">
        <v>266</v>
      </c>
      <c r="D5" s="32"/>
      <c r="E5" s="33">
        <v>44043</v>
      </c>
    </row>
    <row r="6" spans="3:9">
      <c r="C6" s="32" t="s">
        <v>2</v>
      </c>
      <c r="D6" s="32"/>
      <c r="E6" s="33">
        <v>44044</v>
      </c>
    </row>
    <row r="7" spans="3:9">
      <c r="C7" s="32" t="s">
        <v>9</v>
      </c>
      <c r="D7" s="32"/>
      <c r="E7" s="34">
        <v>5</v>
      </c>
    </row>
    <row r="8" spans="3:9">
      <c r="C8" s="32" t="s">
        <v>3</v>
      </c>
      <c r="D8" s="32"/>
      <c r="E8" s="35">
        <f>EDATE(E6,E7)-1</f>
        <v>44196</v>
      </c>
    </row>
    <row r="9" spans="3:9">
      <c r="C9" s="54" t="s">
        <v>4</v>
      </c>
      <c r="D9" s="54"/>
      <c r="E9" s="55">
        <f>E8+1</f>
        <v>44197</v>
      </c>
    </row>
    <row r="10" spans="3:9">
      <c r="C10" s="32" t="s">
        <v>5</v>
      </c>
      <c r="D10" s="32"/>
      <c r="E10" s="35">
        <f>DATE(IF(MONTH(E9)&gt;3,(YEAR(E9)+1),YEAR(E9)),3,31)</f>
        <v>44286</v>
      </c>
    </row>
    <row r="11" spans="3:9">
      <c r="C11" s="32" t="s">
        <v>10</v>
      </c>
      <c r="D11" s="32"/>
      <c r="E11" s="36">
        <f>ROUND(((E10-E9)/30),0)</f>
        <v>3</v>
      </c>
    </row>
    <row r="12" spans="3:9">
      <c r="C12" s="32" t="s">
        <v>6</v>
      </c>
      <c r="D12" s="32"/>
      <c r="E12" s="35">
        <f>DATE(IF(MONTH(E6)&gt;3,(YEAR(E6)+1),YEAR(E6)),3,31)</f>
        <v>44286</v>
      </c>
    </row>
    <row r="13" spans="3:9">
      <c r="C13" s="32" t="s">
        <v>7</v>
      </c>
      <c r="D13" s="32"/>
      <c r="E13" s="35">
        <f>EOMONTH(DATE(YEAR(E6),CEILING(MONTH(E6),3),0),1)</f>
        <v>44104</v>
      </c>
    </row>
    <row r="14" spans="3:9">
      <c r="C14" s="42" t="s">
        <v>8</v>
      </c>
      <c r="D14" s="42"/>
      <c r="E14" s="43">
        <f>EOMONTH(DATE(YEAR(E9),CEILING(MONTH(E9),3),0),1)</f>
        <v>44286</v>
      </c>
    </row>
    <row r="15" spans="3:9" ht="15">
      <c r="G15"/>
      <c r="H15"/>
    </row>
    <row r="16" spans="3:9">
      <c r="C16" s="37" t="s">
        <v>11</v>
      </c>
      <c r="D16" s="38"/>
      <c r="E16" s="40">
        <f>EOMONTH(E6,0)</f>
        <v>44074</v>
      </c>
      <c r="F16" s="40">
        <f>EOMONTH(E16,1)</f>
        <v>44104</v>
      </c>
      <c r="G16" s="40">
        <f t="shared" ref="G16:I16" si="0">EOMONTH(F16,1)</f>
        <v>44135</v>
      </c>
      <c r="H16" s="40">
        <f t="shared" si="0"/>
        <v>44165</v>
      </c>
      <c r="I16" s="40">
        <f t="shared" si="0"/>
        <v>44196</v>
      </c>
    </row>
    <row r="17" spans="3:9">
      <c r="C17" s="2" t="s">
        <v>262</v>
      </c>
      <c r="D17" s="21">
        <f>SUM(E17:I17)</f>
        <v>1</v>
      </c>
      <c r="E17" s="41">
        <v>0.8</v>
      </c>
      <c r="F17" s="47">
        <v>0.2</v>
      </c>
      <c r="G17" s="47">
        <v>0</v>
      </c>
      <c r="H17" s="47">
        <v>0</v>
      </c>
      <c r="I17" s="47">
        <f>1-SUM(E17:H17)</f>
        <v>0</v>
      </c>
    </row>
    <row r="18" spans="3:9">
      <c r="C18" s="2" t="s">
        <v>31</v>
      </c>
      <c r="D18" s="21">
        <f t="shared" ref="D18:D28" si="1">SUM(E18:I18)</f>
        <v>1</v>
      </c>
      <c r="E18" s="41">
        <v>0.3</v>
      </c>
      <c r="F18" s="47">
        <v>0.3</v>
      </c>
      <c r="G18" s="47">
        <v>0.2</v>
      </c>
      <c r="H18" s="47">
        <v>0.2</v>
      </c>
      <c r="I18" s="47">
        <f t="shared" ref="I18:I28" si="2">1-SUM(E18:H18)</f>
        <v>0</v>
      </c>
    </row>
    <row r="19" spans="3:9">
      <c r="C19" s="2" t="s">
        <v>32</v>
      </c>
      <c r="D19" s="21">
        <f t="shared" si="1"/>
        <v>1</v>
      </c>
      <c r="E19" s="41">
        <v>0.3</v>
      </c>
      <c r="F19" s="47">
        <v>0.3</v>
      </c>
      <c r="G19" s="47">
        <v>0.2</v>
      </c>
      <c r="H19" s="47">
        <v>0.2</v>
      </c>
      <c r="I19" s="47">
        <f t="shared" si="2"/>
        <v>0</v>
      </c>
    </row>
    <row r="20" spans="3:9">
      <c r="C20" s="2" t="s">
        <v>12</v>
      </c>
      <c r="D20" s="21">
        <f t="shared" si="1"/>
        <v>1</v>
      </c>
      <c r="E20" s="41">
        <v>0.2</v>
      </c>
      <c r="F20" s="47">
        <v>0.4</v>
      </c>
      <c r="G20" s="47">
        <v>0.1</v>
      </c>
      <c r="H20" s="47">
        <v>0.3</v>
      </c>
      <c r="I20" s="47">
        <f t="shared" si="2"/>
        <v>0</v>
      </c>
    </row>
    <row r="21" spans="3:9">
      <c r="C21" s="2" t="s">
        <v>33</v>
      </c>
      <c r="D21" s="21">
        <f t="shared" si="1"/>
        <v>1</v>
      </c>
      <c r="E21" s="41">
        <v>0.2</v>
      </c>
      <c r="F21" s="41">
        <v>0.2</v>
      </c>
      <c r="G21" s="47">
        <v>0.2</v>
      </c>
      <c r="H21" s="47">
        <v>0.2</v>
      </c>
      <c r="I21" s="47">
        <f t="shared" si="2"/>
        <v>0.19999999999999996</v>
      </c>
    </row>
    <row r="22" spans="3:9">
      <c r="C22" s="2" t="s">
        <v>13</v>
      </c>
      <c r="D22" s="21">
        <f t="shared" si="1"/>
        <v>1</v>
      </c>
      <c r="E22" s="41">
        <v>0.2</v>
      </c>
      <c r="F22" s="41">
        <v>0.2</v>
      </c>
      <c r="G22" s="47">
        <v>0.2</v>
      </c>
      <c r="H22" s="47">
        <v>0.2</v>
      </c>
      <c r="I22" s="47">
        <f t="shared" si="2"/>
        <v>0.19999999999999996</v>
      </c>
    </row>
    <row r="23" spans="3:9">
      <c r="C23" s="2" t="s">
        <v>66</v>
      </c>
      <c r="D23" s="21">
        <f t="shared" si="1"/>
        <v>1</v>
      </c>
      <c r="E23" s="41">
        <v>0</v>
      </c>
      <c r="F23" s="47">
        <v>0</v>
      </c>
      <c r="G23" s="47">
        <v>0</v>
      </c>
      <c r="H23" s="47">
        <v>0.5</v>
      </c>
      <c r="I23" s="47">
        <f t="shared" si="2"/>
        <v>0.5</v>
      </c>
    </row>
    <row r="24" spans="3:9">
      <c r="C24" s="2" t="s">
        <v>73</v>
      </c>
      <c r="D24" s="21">
        <f t="shared" si="1"/>
        <v>1</v>
      </c>
      <c r="E24" s="41">
        <v>0</v>
      </c>
      <c r="F24" s="47">
        <v>0</v>
      </c>
      <c r="G24" s="47">
        <v>0.2</v>
      </c>
      <c r="H24" s="47">
        <v>0.3</v>
      </c>
      <c r="I24" s="47">
        <f t="shared" si="2"/>
        <v>0.5</v>
      </c>
    </row>
    <row r="25" spans="3:9">
      <c r="C25" s="2" t="s">
        <v>74</v>
      </c>
      <c r="D25" s="21">
        <f t="shared" si="1"/>
        <v>1</v>
      </c>
      <c r="E25" s="41">
        <v>0</v>
      </c>
      <c r="F25" s="47">
        <v>0</v>
      </c>
      <c r="G25" s="47">
        <v>0.2</v>
      </c>
      <c r="H25" s="47">
        <v>0.3</v>
      </c>
      <c r="I25" s="47">
        <f t="shared" si="2"/>
        <v>0.5</v>
      </c>
    </row>
    <row r="26" spans="3:9">
      <c r="C26" s="2" t="s">
        <v>202</v>
      </c>
      <c r="D26" s="21">
        <f t="shared" si="1"/>
        <v>1</v>
      </c>
      <c r="E26" s="41">
        <v>0.2</v>
      </c>
      <c r="F26" s="41">
        <v>0.2</v>
      </c>
      <c r="G26" s="47">
        <v>0.2</v>
      </c>
      <c r="H26" s="47">
        <v>0.2</v>
      </c>
      <c r="I26" s="47">
        <f t="shared" si="2"/>
        <v>0.19999999999999996</v>
      </c>
    </row>
    <row r="27" spans="3:9">
      <c r="C27" s="2" t="s">
        <v>213</v>
      </c>
      <c r="D27" s="21">
        <f t="shared" ref="D27" si="3">SUM(E27:I27)</f>
        <v>1</v>
      </c>
      <c r="E27" s="41">
        <v>0</v>
      </c>
      <c r="F27" s="47">
        <v>0</v>
      </c>
      <c r="G27" s="47">
        <v>0</v>
      </c>
      <c r="H27" s="47">
        <v>0</v>
      </c>
      <c r="I27" s="47">
        <f t="shared" ref="I27" si="4">1-SUM(E27:H27)</f>
        <v>1</v>
      </c>
    </row>
    <row r="28" spans="3:9">
      <c r="C28" s="44" t="s">
        <v>316</v>
      </c>
      <c r="D28" s="45">
        <f t="shared" si="1"/>
        <v>1</v>
      </c>
      <c r="E28" s="46">
        <v>0</v>
      </c>
      <c r="F28" s="48">
        <v>0</v>
      </c>
      <c r="G28" s="48">
        <v>0</v>
      </c>
      <c r="H28" s="48">
        <v>0</v>
      </c>
      <c r="I28" s="266">
        <f t="shared" si="2"/>
        <v>1</v>
      </c>
    </row>
    <row r="29" spans="3:9">
      <c r="D29" s="21"/>
      <c r="E29" s="22"/>
      <c r="F29" s="22"/>
      <c r="G29" s="23"/>
      <c r="H29" s="23"/>
    </row>
    <row r="30" spans="3:9">
      <c r="C30" s="2" t="s">
        <v>213</v>
      </c>
      <c r="D30" s="237">
        <v>1.4999999999999999E-2</v>
      </c>
      <c r="E30" s="22"/>
      <c r="F30" s="22"/>
      <c r="G30" s="23"/>
      <c r="H30" s="23"/>
    </row>
    <row r="31" spans="3:9">
      <c r="D31" s="21"/>
      <c r="E31" s="24"/>
      <c r="F31" s="24"/>
    </row>
    <row r="32" spans="3:9">
      <c r="C32" s="37" t="s">
        <v>14</v>
      </c>
      <c r="D32" s="37"/>
      <c r="E32" s="37" t="s">
        <v>310</v>
      </c>
    </row>
    <row r="33" spans="3:8">
      <c r="C33" s="2" t="s">
        <v>15</v>
      </c>
      <c r="E33" s="89">
        <f>'Project Cost'!C21-Assumptions!E35-Assumptions!E34</f>
        <v>43.186240633333341</v>
      </c>
    </row>
    <row r="34" spans="3:8">
      <c r="C34" s="2" t="s">
        <v>263</v>
      </c>
      <c r="E34" s="143">
        <v>20</v>
      </c>
    </row>
    <row r="35" spans="3:8">
      <c r="C35" s="2" t="s">
        <v>16</v>
      </c>
      <c r="E35" s="143">
        <v>115</v>
      </c>
      <c r="G35" s="25"/>
    </row>
    <row r="36" spans="3:8">
      <c r="C36" s="120" t="s">
        <v>17</v>
      </c>
      <c r="D36" s="120"/>
      <c r="E36" s="142">
        <f>SUM(E33:E35)</f>
        <v>178.18624063333334</v>
      </c>
    </row>
    <row r="37" spans="3:8">
      <c r="C37" s="2" t="s">
        <v>18</v>
      </c>
      <c r="E37" s="50">
        <f>(E35)/(E33+E34)</f>
        <v>1.8200164916811457</v>
      </c>
      <c r="G37" s="26"/>
    </row>
    <row r="38" spans="3:8">
      <c r="C38" s="44" t="s">
        <v>19</v>
      </c>
      <c r="D38" s="44"/>
      <c r="E38" s="141">
        <f>E37/(1+E37)*100%</f>
        <v>0.64539214470910689</v>
      </c>
      <c r="G38" s="26"/>
    </row>
    <row r="40" spans="3:8">
      <c r="C40" s="2" t="s">
        <v>20</v>
      </c>
      <c r="E40" s="51">
        <v>0.1</v>
      </c>
    </row>
    <row r="42" spans="3:8">
      <c r="C42" s="37" t="s">
        <v>21</v>
      </c>
      <c r="D42" s="37"/>
      <c r="E42" s="37"/>
    </row>
    <row r="43" spans="3:8">
      <c r="C43" s="2" t="s">
        <v>22</v>
      </c>
      <c r="E43" s="49">
        <f>10%+INTR</f>
        <v>0.1</v>
      </c>
    </row>
    <row r="44" spans="3:8">
      <c r="C44" s="2" t="s">
        <v>201</v>
      </c>
      <c r="E44" s="23">
        <v>0</v>
      </c>
    </row>
    <row r="45" spans="3:8">
      <c r="C45" s="2" t="s">
        <v>264</v>
      </c>
      <c r="E45" s="52">
        <v>6</v>
      </c>
    </row>
    <row r="46" spans="3:8">
      <c r="C46" s="2" t="s">
        <v>23</v>
      </c>
      <c r="E46" s="35">
        <f>EOMONTH(EDATE(E9,E45),0)</f>
        <v>44408</v>
      </c>
    </row>
    <row r="47" spans="3:8">
      <c r="C47" s="2" t="s">
        <v>24</v>
      </c>
      <c r="E47" s="35">
        <f>EOMONTH(E46,E48-1)</f>
        <v>46934</v>
      </c>
      <c r="G47" s="27"/>
      <c r="H47" s="27"/>
    </row>
    <row r="48" spans="3:8">
      <c r="C48" s="2" t="s">
        <v>265</v>
      </c>
      <c r="E48" s="52">
        <f>7*12</f>
        <v>84</v>
      </c>
    </row>
    <row r="49" spans="3:9">
      <c r="C49" s="44" t="s">
        <v>407</v>
      </c>
      <c r="D49" s="44"/>
      <c r="E49" s="199">
        <f>YEARFRAC(E6,E47)</f>
        <v>7.9138888888888888</v>
      </c>
    </row>
    <row r="52" spans="3:9">
      <c r="C52" s="37" t="s">
        <v>267</v>
      </c>
      <c r="D52" s="62" t="s">
        <v>268</v>
      </c>
      <c r="E52" s="62" t="s">
        <v>269</v>
      </c>
      <c r="F52" s="62" t="s">
        <v>270</v>
      </c>
      <c r="G52" s="62" t="s">
        <v>271</v>
      </c>
    </row>
    <row r="53" spans="3:9">
      <c r="C53" s="56" t="s">
        <v>272</v>
      </c>
      <c r="D53" s="57">
        <f>E8</f>
        <v>44196</v>
      </c>
      <c r="E53" s="57">
        <f t="shared" ref="E53:E58" si="5">DATE(YEAR(D53),((INT((MONTH(D53)-1)/3)+1)*3)+1,1)-1</f>
        <v>44196</v>
      </c>
      <c r="F53" s="127">
        <f t="shared" ref="F53:F58" si="6">YEAR(DATE(IF(MONTH(D53)&gt;3,YEAR(D53)+1,YEAR(D53)),3,31))</f>
        <v>2021</v>
      </c>
      <c r="G53" s="57">
        <f t="shared" ref="G53:G58" si="7">DATE(IF(MONTH(D53)&gt;3,YEAR(D53)+1,YEAR(D53)),3,31)</f>
        <v>44286</v>
      </c>
    </row>
    <row r="54" spans="3:9">
      <c r="C54" s="56" t="s">
        <v>273</v>
      </c>
      <c r="D54" s="57">
        <f>E9</f>
        <v>44197</v>
      </c>
      <c r="E54" s="57">
        <f t="shared" si="5"/>
        <v>44286</v>
      </c>
      <c r="F54" s="127">
        <f t="shared" si="6"/>
        <v>2021</v>
      </c>
      <c r="G54" s="57">
        <f t="shared" si="7"/>
        <v>44286</v>
      </c>
    </row>
    <row r="55" spans="3:9">
      <c r="C55" s="56" t="s">
        <v>274</v>
      </c>
      <c r="D55" s="57">
        <f>E6</f>
        <v>44044</v>
      </c>
      <c r="E55" s="57">
        <f t="shared" si="5"/>
        <v>44104</v>
      </c>
      <c r="F55" s="127">
        <f t="shared" si="6"/>
        <v>2021</v>
      </c>
      <c r="G55" s="57">
        <f t="shared" si="7"/>
        <v>44286</v>
      </c>
    </row>
    <row r="56" spans="3:9">
      <c r="C56" s="56" t="s">
        <v>275</v>
      </c>
      <c r="D56" s="57">
        <f>E8</f>
        <v>44196</v>
      </c>
      <c r="E56" s="57">
        <f t="shared" si="5"/>
        <v>44196</v>
      </c>
      <c r="F56" s="127">
        <f t="shared" si="6"/>
        <v>2021</v>
      </c>
      <c r="G56" s="57">
        <f t="shared" si="7"/>
        <v>44286</v>
      </c>
    </row>
    <row r="57" spans="3:9">
      <c r="C57" s="58" t="s">
        <v>276</v>
      </c>
      <c r="D57" s="57">
        <f>E46</f>
        <v>44408</v>
      </c>
      <c r="E57" s="57">
        <f t="shared" si="5"/>
        <v>44469</v>
      </c>
      <c r="F57" s="127">
        <f t="shared" si="6"/>
        <v>2022</v>
      </c>
      <c r="G57" s="57">
        <f t="shared" si="7"/>
        <v>44651</v>
      </c>
    </row>
    <row r="58" spans="3:9">
      <c r="C58" s="59" t="s">
        <v>277</v>
      </c>
      <c r="D58" s="60">
        <f>E47</f>
        <v>46934</v>
      </c>
      <c r="E58" s="60">
        <f t="shared" si="5"/>
        <v>46934</v>
      </c>
      <c r="F58" s="128">
        <f t="shared" si="6"/>
        <v>2029</v>
      </c>
      <c r="G58" s="60">
        <f t="shared" si="7"/>
        <v>47208</v>
      </c>
    </row>
    <row r="61" spans="3:9">
      <c r="C61" s="37" t="s">
        <v>283</v>
      </c>
    </row>
    <row r="63" spans="3:9">
      <c r="C63" s="37" t="s">
        <v>270</v>
      </c>
      <c r="D63" s="62" t="s">
        <v>278</v>
      </c>
      <c r="E63" s="62" t="s">
        <v>279</v>
      </c>
      <c r="F63" s="62" t="s">
        <v>280</v>
      </c>
      <c r="G63" s="62" t="s">
        <v>281</v>
      </c>
      <c r="H63" s="37" t="s">
        <v>40</v>
      </c>
      <c r="I63" s="63" t="s">
        <v>282</v>
      </c>
    </row>
    <row r="64" spans="3:9">
      <c r="C64" s="68">
        <v>2021</v>
      </c>
      <c r="D64" s="64"/>
      <c r="E64" s="64"/>
      <c r="F64" s="69"/>
      <c r="G64" s="69"/>
      <c r="H64" s="70">
        <f t="shared" ref="H64:H77" si="8">SUM(D64:G64)</f>
        <v>0</v>
      </c>
      <c r="I64" s="65">
        <v>1</v>
      </c>
    </row>
    <row r="65" spans="3:9">
      <c r="C65" s="71">
        <f t="shared" ref="C65:C77" si="9">C64+1</f>
        <v>2022</v>
      </c>
      <c r="D65" s="72"/>
      <c r="E65" s="83">
        <f>F65</f>
        <v>3.125E-2</v>
      </c>
      <c r="F65" s="83">
        <v>3.125E-2</v>
      </c>
      <c r="G65" s="83">
        <v>3.125E-2</v>
      </c>
      <c r="H65" s="70">
        <f t="shared" si="8"/>
        <v>9.375E-2</v>
      </c>
      <c r="I65" s="65">
        <v>1</v>
      </c>
    </row>
    <row r="66" spans="3:9">
      <c r="C66" s="71">
        <f t="shared" si="9"/>
        <v>2023</v>
      </c>
      <c r="D66" s="83">
        <v>3.125E-2</v>
      </c>
      <c r="E66" s="83">
        <v>3.125E-2</v>
      </c>
      <c r="F66" s="83">
        <v>3.125E-2</v>
      </c>
      <c r="G66" s="83">
        <v>3.125E-2</v>
      </c>
      <c r="H66" s="70">
        <f t="shared" si="8"/>
        <v>0.125</v>
      </c>
      <c r="I66" s="65">
        <v>1</v>
      </c>
    </row>
    <row r="67" spans="3:9">
      <c r="C67" s="71">
        <f t="shared" si="9"/>
        <v>2024</v>
      </c>
      <c r="D67" s="83">
        <v>3.125E-2</v>
      </c>
      <c r="E67" s="83">
        <v>3.125E-2</v>
      </c>
      <c r="F67" s="83">
        <v>3.125E-2</v>
      </c>
      <c r="G67" s="83">
        <v>3.125E-2</v>
      </c>
      <c r="H67" s="70">
        <f t="shared" si="8"/>
        <v>0.125</v>
      </c>
      <c r="I67" s="65">
        <v>1</v>
      </c>
    </row>
    <row r="68" spans="3:9">
      <c r="C68" s="71">
        <f t="shared" si="9"/>
        <v>2025</v>
      </c>
      <c r="D68" s="83">
        <v>3.125E-2</v>
      </c>
      <c r="E68" s="83">
        <v>3.125E-2</v>
      </c>
      <c r="F68" s="83">
        <v>3.125E-2</v>
      </c>
      <c r="G68" s="83">
        <v>3.125E-2</v>
      </c>
      <c r="H68" s="70">
        <f t="shared" si="8"/>
        <v>0.125</v>
      </c>
      <c r="I68" s="64">
        <f t="shared" ref="I68:I77" si="10">COUNTA(D68:G68)/4</f>
        <v>1</v>
      </c>
    </row>
    <row r="69" spans="3:9">
      <c r="C69" s="71">
        <f t="shared" si="9"/>
        <v>2026</v>
      </c>
      <c r="D69" s="83">
        <v>3.125E-2</v>
      </c>
      <c r="E69" s="83">
        <v>3.125E-2</v>
      </c>
      <c r="F69" s="83">
        <v>3.125E-2</v>
      </c>
      <c r="G69" s="83">
        <v>3.125E-2</v>
      </c>
      <c r="H69" s="70">
        <f t="shared" si="8"/>
        <v>0.125</v>
      </c>
      <c r="I69" s="64">
        <f t="shared" si="10"/>
        <v>1</v>
      </c>
    </row>
    <row r="70" spans="3:9">
      <c r="C70" s="71">
        <f t="shared" si="9"/>
        <v>2027</v>
      </c>
      <c r="D70" s="83">
        <v>3.125E-2</v>
      </c>
      <c r="E70" s="83">
        <v>3.125E-2</v>
      </c>
      <c r="F70" s="83">
        <v>3.125E-2</v>
      </c>
      <c r="G70" s="83">
        <v>3.125E-2</v>
      </c>
      <c r="H70" s="70">
        <f t="shared" si="8"/>
        <v>0.125</v>
      </c>
      <c r="I70" s="64">
        <f t="shared" si="10"/>
        <v>1</v>
      </c>
    </row>
    <row r="71" spans="3:9">
      <c r="C71" s="71">
        <f t="shared" si="9"/>
        <v>2028</v>
      </c>
      <c r="D71" s="83">
        <v>3.125E-2</v>
      </c>
      <c r="E71" s="83">
        <v>3.125E-2</v>
      </c>
      <c r="F71" s="83">
        <v>3.125E-2</v>
      </c>
      <c r="G71" s="83">
        <v>3.125E-2</v>
      </c>
      <c r="H71" s="70">
        <f t="shared" si="8"/>
        <v>0.125</v>
      </c>
      <c r="I71" s="64">
        <f t="shared" si="10"/>
        <v>1</v>
      </c>
    </row>
    <row r="72" spans="3:9">
      <c r="C72" s="71">
        <f t="shared" si="9"/>
        <v>2029</v>
      </c>
      <c r="D72" s="83">
        <v>3.125E-2</v>
      </c>
      <c r="E72" s="83">
        <v>3.125E-2</v>
      </c>
      <c r="F72" s="83">
        <v>3.125E-2</v>
      </c>
      <c r="G72" s="83">
        <v>3.125E-2</v>
      </c>
      <c r="H72" s="70">
        <f t="shared" si="8"/>
        <v>0.125</v>
      </c>
      <c r="I72" s="64">
        <f t="shared" si="10"/>
        <v>1</v>
      </c>
    </row>
    <row r="73" spans="3:9">
      <c r="C73" s="71">
        <f t="shared" si="9"/>
        <v>2030</v>
      </c>
      <c r="D73" s="83">
        <v>3.125E-2</v>
      </c>
      <c r="E73" s="83"/>
      <c r="F73" s="73"/>
      <c r="G73" s="73"/>
      <c r="H73" s="70">
        <f t="shared" si="8"/>
        <v>3.125E-2</v>
      </c>
      <c r="I73" s="64">
        <f t="shared" si="10"/>
        <v>0.25</v>
      </c>
    </row>
    <row r="74" spans="3:9">
      <c r="C74" s="71">
        <f t="shared" si="9"/>
        <v>2031</v>
      </c>
      <c r="D74" s="74"/>
      <c r="E74" s="75"/>
      <c r="F74" s="75"/>
      <c r="G74" s="75"/>
      <c r="H74" s="70">
        <f t="shared" si="8"/>
        <v>0</v>
      </c>
      <c r="I74" s="64">
        <f t="shared" si="10"/>
        <v>0</v>
      </c>
    </row>
    <row r="75" spans="3:9">
      <c r="C75" s="71">
        <f t="shared" si="9"/>
        <v>2032</v>
      </c>
      <c r="D75" s="76"/>
      <c r="E75" s="75"/>
      <c r="F75" s="75"/>
      <c r="G75" s="75"/>
      <c r="H75" s="70">
        <f t="shared" si="8"/>
        <v>0</v>
      </c>
      <c r="I75" s="64">
        <f t="shared" si="10"/>
        <v>0</v>
      </c>
    </row>
    <row r="76" spans="3:9">
      <c r="C76" s="71">
        <f t="shared" si="9"/>
        <v>2033</v>
      </c>
      <c r="D76" s="76"/>
      <c r="E76" s="75"/>
      <c r="F76" s="75"/>
      <c r="G76" s="75"/>
      <c r="H76" s="70">
        <f t="shared" si="8"/>
        <v>0</v>
      </c>
      <c r="I76" s="64">
        <f t="shared" si="10"/>
        <v>0</v>
      </c>
    </row>
    <row r="77" spans="3:9">
      <c r="C77" s="77">
        <f t="shared" si="9"/>
        <v>2034</v>
      </c>
      <c r="D77" s="78"/>
      <c r="E77" s="79"/>
      <c r="F77" s="79"/>
      <c r="G77" s="79"/>
      <c r="H77" s="80">
        <f t="shared" si="8"/>
        <v>0</v>
      </c>
      <c r="I77" s="64">
        <f t="shared" si="10"/>
        <v>0</v>
      </c>
    </row>
    <row r="78" spans="3:9">
      <c r="C78" s="81"/>
      <c r="D78" s="81"/>
      <c r="E78" s="81"/>
      <c r="F78" s="81"/>
      <c r="G78" s="81"/>
      <c r="H78" s="82">
        <f>SUM(H64:H77)</f>
        <v>1</v>
      </c>
    </row>
    <row r="79" spans="3:9">
      <c r="G79" s="67" t="s">
        <v>76</v>
      </c>
      <c r="H79" s="66" t="str">
        <f>IF(H78-1&gt;0,"ERROR","OK")</f>
        <v>OK</v>
      </c>
    </row>
    <row r="81" spans="3:14">
      <c r="C81" s="37" t="s">
        <v>35</v>
      </c>
      <c r="D81" s="37"/>
      <c r="E81" s="37"/>
      <c r="F81" s="37"/>
      <c r="G81" s="37"/>
      <c r="H81" s="37"/>
      <c r="I81" s="37"/>
      <c r="J81" s="37"/>
      <c r="K81" s="37"/>
      <c r="L81" s="37"/>
      <c r="M81" s="37"/>
      <c r="N81" s="37"/>
    </row>
    <row r="82" spans="3:14">
      <c r="C82" s="2" t="s">
        <v>69</v>
      </c>
      <c r="E82" s="35">
        <f>E10</f>
        <v>44286</v>
      </c>
      <c r="F82" s="35">
        <f>EOMONTH(E82,12)</f>
        <v>44651</v>
      </c>
      <c r="G82" s="35">
        <f t="shared" ref="G82:K82" si="11">EOMONTH(F82,12)</f>
        <v>45016</v>
      </c>
      <c r="H82" s="35">
        <f t="shared" si="11"/>
        <v>45382</v>
      </c>
      <c r="I82" s="35">
        <f t="shared" si="11"/>
        <v>45747</v>
      </c>
      <c r="J82" s="35">
        <f t="shared" si="11"/>
        <v>46112</v>
      </c>
      <c r="K82" s="35">
        <f t="shared" si="11"/>
        <v>46477</v>
      </c>
      <c r="L82" s="35">
        <f>EOMONTH(K82,12)</f>
        <v>46843</v>
      </c>
      <c r="M82" s="35">
        <f>EOMONTH(L82,12)</f>
        <v>47208</v>
      </c>
      <c r="N82" s="35">
        <f>EOMONTH(M82,12)</f>
        <v>47573</v>
      </c>
    </row>
    <row r="83" spans="3:14">
      <c r="C83" s="2" t="s">
        <v>36</v>
      </c>
      <c r="E83" s="32">
        <f>ROUNDDOWN((E82-E9+1)/30,0)</f>
        <v>3</v>
      </c>
      <c r="F83" s="32">
        <f>ROUNDDOWN((F82-E82)/30,0)</f>
        <v>12</v>
      </c>
      <c r="G83" s="32">
        <f t="shared" ref="G83:N83" si="12">ROUNDDOWN((G82-F82)/30,0)</f>
        <v>12</v>
      </c>
      <c r="H83" s="32">
        <f t="shared" si="12"/>
        <v>12</v>
      </c>
      <c r="I83" s="32">
        <f t="shared" si="12"/>
        <v>12</v>
      </c>
      <c r="J83" s="32">
        <f t="shared" si="12"/>
        <v>12</v>
      </c>
      <c r="K83" s="32">
        <f t="shared" si="12"/>
        <v>12</v>
      </c>
      <c r="L83" s="32">
        <f t="shared" si="12"/>
        <v>12</v>
      </c>
      <c r="M83" s="32">
        <f t="shared" si="12"/>
        <v>12</v>
      </c>
      <c r="N83" s="32">
        <f t="shared" si="12"/>
        <v>12</v>
      </c>
    </row>
    <row r="84" spans="3:14">
      <c r="C84" s="2" t="s">
        <v>37</v>
      </c>
      <c r="E84" s="84">
        <f>IF(E83=12,360,360*E83/12)</f>
        <v>90</v>
      </c>
      <c r="F84" s="84">
        <f t="shared" ref="F84:N84" si="13">IF(F83=12,360,360*F83/12)</f>
        <v>360</v>
      </c>
      <c r="G84" s="84">
        <f t="shared" si="13"/>
        <v>360</v>
      </c>
      <c r="H84" s="84">
        <f t="shared" si="13"/>
        <v>360</v>
      </c>
      <c r="I84" s="84">
        <f t="shared" si="13"/>
        <v>360</v>
      </c>
      <c r="J84" s="84">
        <f t="shared" si="13"/>
        <v>360</v>
      </c>
      <c r="K84" s="84">
        <f t="shared" si="13"/>
        <v>360</v>
      </c>
      <c r="L84" s="84">
        <f t="shared" si="13"/>
        <v>360</v>
      </c>
      <c r="M84" s="84">
        <f t="shared" si="13"/>
        <v>360</v>
      </c>
      <c r="N84" s="84">
        <f t="shared" si="13"/>
        <v>360</v>
      </c>
    </row>
    <row r="85" spans="3:14">
      <c r="C85" s="2" t="s">
        <v>284</v>
      </c>
      <c r="D85" s="52">
        <f>360*10</f>
        <v>3600</v>
      </c>
      <c r="E85" s="32">
        <f>D85</f>
        <v>3600</v>
      </c>
      <c r="F85" s="32">
        <f t="shared" ref="F85:K85" si="14">E85</f>
        <v>3600</v>
      </c>
      <c r="G85" s="32">
        <f t="shared" si="14"/>
        <v>3600</v>
      </c>
      <c r="H85" s="32">
        <f t="shared" si="14"/>
        <v>3600</v>
      </c>
      <c r="I85" s="32">
        <f t="shared" si="14"/>
        <v>3600</v>
      </c>
      <c r="J85" s="32">
        <f t="shared" si="14"/>
        <v>3600</v>
      </c>
      <c r="K85" s="32">
        <f t="shared" si="14"/>
        <v>3600</v>
      </c>
      <c r="L85" s="2">
        <f>K85</f>
        <v>3600</v>
      </c>
      <c r="M85" s="2">
        <f>L85</f>
        <v>3600</v>
      </c>
      <c r="N85" s="2">
        <f>M85</f>
        <v>3600</v>
      </c>
    </row>
    <row r="86" spans="3:14">
      <c r="C86" s="44" t="s">
        <v>38</v>
      </c>
      <c r="D86" s="44"/>
      <c r="E86" s="85">
        <f>30%+CAP</f>
        <v>0.3</v>
      </c>
      <c r="F86" s="85">
        <f>35%+CAP</f>
        <v>0.35</v>
      </c>
      <c r="G86" s="85">
        <f>45%+CAP</f>
        <v>0.45</v>
      </c>
      <c r="H86" s="85">
        <f>55%+CAP</f>
        <v>0.55000000000000004</v>
      </c>
      <c r="I86" s="85">
        <f>65%+CAP</f>
        <v>0.65</v>
      </c>
      <c r="J86" s="85">
        <f>75%+CAP</f>
        <v>0.75</v>
      </c>
      <c r="K86" s="86">
        <f t="shared" ref="K86:N86" si="15">J86</f>
        <v>0.75</v>
      </c>
      <c r="L86" s="86">
        <f t="shared" si="15"/>
        <v>0.75</v>
      </c>
      <c r="M86" s="86">
        <f t="shared" si="15"/>
        <v>0.75</v>
      </c>
      <c r="N86" s="86">
        <f t="shared" si="15"/>
        <v>0.75</v>
      </c>
    </row>
    <row r="87" spans="3:14">
      <c r="E87" s="28"/>
      <c r="F87" s="28"/>
      <c r="G87" s="28"/>
      <c r="H87" s="28"/>
      <c r="I87" s="28"/>
      <c r="J87" s="28"/>
      <c r="K87" s="28"/>
    </row>
    <row r="88" spans="3:14">
      <c r="C88" s="37" t="s">
        <v>285</v>
      </c>
      <c r="D88" s="37"/>
      <c r="E88" s="37"/>
      <c r="F88" s="37"/>
      <c r="G88" s="28"/>
      <c r="H88" s="28"/>
      <c r="I88" s="28"/>
      <c r="J88" s="28"/>
      <c r="K88" s="28"/>
    </row>
    <row r="89" spans="3:14">
      <c r="C89" s="2" t="s">
        <v>288</v>
      </c>
      <c r="D89" s="2" t="s">
        <v>286</v>
      </c>
      <c r="E89" s="2" t="s">
        <v>452</v>
      </c>
      <c r="F89" s="2" t="s">
        <v>287</v>
      </c>
      <c r="G89" s="28"/>
      <c r="H89" s="28"/>
      <c r="I89" s="28"/>
      <c r="J89" s="28"/>
      <c r="K89" s="28"/>
    </row>
    <row r="90" spans="3:14">
      <c r="C90" s="87" t="s">
        <v>294</v>
      </c>
      <c r="D90" s="52">
        <v>1.1200000000000001</v>
      </c>
      <c r="E90" s="52">
        <f>36500*(1+RM)</f>
        <v>36500</v>
      </c>
      <c r="F90" s="32">
        <f>D90*E90</f>
        <v>40880.000000000007</v>
      </c>
      <c r="G90" s="28"/>
      <c r="H90" s="28"/>
      <c r="I90" s="28"/>
      <c r="J90" s="28"/>
      <c r="K90" s="28"/>
    </row>
    <row r="91" spans="3:14">
      <c r="C91" s="2" t="s">
        <v>89</v>
      </c>
      <c r="E91" s="28"/>
      <c r="F91" s="52"/>
      <c r="G91" s="28"/>
      <c r="H91" s="28"/>
      <c r="I91" s="28"/>
      <c r="J91" s="28"/>
      <c r="K91" s="28"/>
    </row>
    <row r="92" spans="3:14">
      <c r="C92" s="87" t="s">
        <v>289</v>
      </c>
      <c r="D92" s="52">
        <v>1</v>
      </c>
      <c r="E92" s="52">
        <f>16940*(1+OP)</f>
        <v>16940</v>
      </c>
      <c r="F92" s="32">
        <f>E92</f>
        <v>16940</v>
      </c>
      <c r="G92" s="28"/>
      <c r="H92" s="28"/>
      <c r="I92" s="28"/>
      <c r="J92" s="28"/>
      <c r="K92" s="28"/>
    </row>
    <row r="93" spans="3:14">
      <c r="C93" s="87" t="s">
        <v>290</v>
      </c>
      <c r="D93" s="52">
        <v>160</v>
      </c>
      <c r="E93" s="52">
        <f>12*(1+OP)</f>
        <v>12</v>
      </c>
      <c r="F93" s="32">
        <f>D93*E93</f>
        <v>1920</v>
      </c>
      <c r="G93" s="28"/>
      <c r="H93" s="28"/>
      <c r="I93" s="28"/>
      <c r="J93" s="28"/>
      <c r="K93" s="28"/>
    </row>
    <row r="94" spans="3:14">
      <c r="C94" s="87" t="s">
        <v>291</v>
      </c>
      <c r="D94" s="52">
        <v>1</v>
      </c>
      <c r="E94" s="52">
        <f>3000*(1+OP)</f>
        <v>3000</v>
      </c>
      <c r="F94" s="32">
        <f>D94*E94</f>
        <v>3000</v>
      </c>
      <c r="G94" s="28"/>
      <c r="H94" s="28"/>
      <c r="I94" s="28"/>
      <c r="J94" s="28"/>
      <c r="K94" s="28"/>
    </row>
    <row r="95" spans="3:14">
      <c r="C95" s="87" t="s">
        <v>292</v>
      </c>
      <c r="E95" s="28"/>
      <c r="F95" s="52">
        <f>1540*(1+OP)</f>
        <v>1540</v>
      </c>
      <c r="G95" s="28"/>
      <c r="H95" s="28"/>
      <c r="I95" s="28"/>
      <c r="J95" s="28"/>
      <c r="K95" s="28"/>
    </row>
    <row r="96" spans="3:14">
      <c r="C96" s="90" t="s">
        <v>293</v>
      </c>
      <c r="D96" s="44"/>
      <c r="E96" s="91"/>
      <c r="F96" s="53">
        <f>770*(1+OP)</f>
        <v>770</v>
      </c>
      <c r="G96" s="28"/>
      <c r="H96" s="28"/>
      <c r="I96" s="28"/>
      <c r="J96" s="28"/>
      <c r="K96" s="28"/>
    </row>
    <row r="97" spans="3:14">
      <c r="E97" s="28"/>
      <c r="F97" s="28"/>
      <c r="G97" s="28"/>
      <c r="H97" s="28"/>
      <c r="I97" s="28"/>
      <c r="J97" s="28"/>
      <c r="K97" s="28"/>
    </row>
    <row r="98" spans="3:14">
      <c r="C98" s="37" t="s">
        <v>85</v>
      </c>
      <c r="D98" s="61" t="s">
        <v>296</v>
      </c>
      <c r="E98" s="37"/>
      <c r="F98" s="28"/>
      <c r="G98" s="28"/>
      <c r="H98" s="28"/>
      <c r="I98" s="28"/>
      <c r="J98" s="28"/>
      <c r="K98" s="28"/>
    </row>
    <row r="99" spans="3:14">
      <c r="C99" s="44" t="s">
        <v>295</v>
      </c>
      <c r="D99" s="44">
        <v>18</v>
      </c>
      <c r="E99" s="85">
        <v>0.1</v>
      </c>
      <c r="F99" s="30"/>
      <c r="G99" s="28"/>
      <c r="H99" s="28"/>
      <c r="I99" s="28"/>
      <c r="J99" s="28"/>
      <c r="K99" s="28"/>
    </row>
    <row r="100" spans="3:14">
      <c r="E100" s="28"/>
      <c r="F100" s="28"/>
      <c r="G100" s="28"/>
      <c r="H100" s="28"/>
      <c r="I100" s="28"/>
      <c r="J100" s="28"/>
      <c r="K100" s="28"/>
    </row>
    <row r="101" spans="3:14">
      <c r="C101" s="37" t="s">
        <v>270</v>
      </c>
      <c r="D101" s="37"/>
      <c r="E101" s="93">
        <f>E82</f>
        <v>44286</v>
      </c>
      <c r="F101" s="93">
        <f t="shared" ref="F101:M101" si="16">F82</f>
        <v>44651</v>
      </c>
      <c r="G101" s="93">
        <f t="shared" si="16"/>
        <v>45016</v>
      </c>
      <c r="H101" s="93">
        <f t="shared" si="16"/>
        <v>45382</v>
      </c>
      <c r="I101" s="93">
        <f t="shared" si="16"/>
        <v>45747</v>
      </c>
      <c r="J101" s="93">
        <f t="shared" si="16"/>
        <v>46112</v>
      </c>
      <c r="K101" s="93">
        <f t="shared" si="16"/>
        <v>46477</v>
      </c>
      <c r="L101" s="93">
        <f t="shared" si="16"/>
        <v>46843</v>
      </c>
      <c r="M101" s="93">
        <f t="shared" si="16"/>
        <v>47208</v>
      </c>
      <c r="N101" s="93">
        <f t="shared" ref="N101" si="17">N82</f>
        <v>47573</v>
      </c>
    </row>
    <row r="102" spans="3:14">
      <c r="C102" s="2" t="s">
        <v>86</v>
      </c>
      <c r="D102" s="2" t="s">
        <v>479</v>
      </c>
      <c r="E102" s="89">
        <f>(10*23000+10*15000+4*50000)/Lacs*55%</f>
        <v>3.19</v>
      </c>
      <c r="F102" s="89">
        <f>E102*(1+5%)</f>
        <v>3.3494999999999999</v>
      </c>
      <c r="G102" s="89">
        <f t="shared" ref="G102:N102" si="18">F102*(1+5%)</f>
        <v>3.516975</v>
      </c>
      <c r="H102" s="89">
        <f t="shared" si="18"/>
        <v>3.6928237500000001</v>
      </c>
      <c r="I102" s="89">
        <f t="shared" si="18"/>
        <v>3.8774649375000001</v>
      </c>
      <c r="J102" s="89">
        <f t="shared" si="18"/>
        <v>4.0713381843750005</v>
      </c>
      <c r="K102" s="89">
        <f t="shared" si="18"/>
        <v>4.2749050935937509</v>
      </c>
      <c r="L102" s="89">
        <f t="shared" si="18"/>
        <v>4.4886503482734383</v>
      </c>
      <c r="M102" s="89">
        <f t="shared" si="18"/>
        <v>4.7130828656871104</v>
      </c>
      <c r="N102" s="89">
        <f t="shared" si="18"/>
        <v>4.9487370089714657</v>
      </c>
    </row>
    <row r="103" spans="3:14">
      <c r="E103" s="28"/>
      <c r="F103" s="28"/>
      <c r="G103" s="28"/>
      <c r="H103" s="28"/>
      <c r="I103" s="28"/>
      <c r="J103" s="28"/>
      <c r="K103" s="51"/>
      <c r="L103" s="51"/>
      <c r="M103" s="51"/>
      <c r="N103" s="51"/>
    </row>
    <row r="104" spans="3:14">
      <c r="C104" s="2" t="s">
        <v>48</v>
      </c>
      <c r="D104" s="2" t="s">
        <v>480</v>
      </c>
      <c r="E104" s="51">
        <v>0.03</v>
      </c>
      <c r="F104" s="51">
        <v>0.03</v>
      </c>
      <c r="G104" s="51">
        <v>0.03</v>
      </c>
      <c r="H104" s="51">
        <v>0.03</v>
      </c>
      <c r="I104" s="51">
        <v>0.03</v>
      </c>
      <c r="J104" s="51">
        <v>0.03</v>
      </c>
      <c r="K104" s="51">
        <v>0.03</v>
      </c>
      <c r="L104" s="51">
        <v>0.03</v>
      </c>
      <c r="M104" s="51">
        <v>0.03</v>
      </c>
      <c r="N104" s="51">
        <v>0.03</v>
      </c>
    </row>
    <row r="105" spans="3:14">
      <c r="C105" s="44"/>
      <c r="D105" s="44"/>
      <c r="E105" s="91"/>
      <c r="F105" s="91"/>
      <c r="G105" s="91"/>
      <c r="H105" s="91"/>
      <c r="I105" s="91"/>
      <c r="J105" s="91"/>
      <c r="K105" s="85"/>
      <c r="L105" s="85"/>
      <c r="M105" s="85"/>
      <c r="N105" s="85"/>
    </row>
    <row r="106" spans="3:14">
      <c r="E106" s="28"/>
      <c r="F106" s="28"/>
      <c r="G106" s="28"/>
      <c r="H106" s="28"/>
      <c r="I106" s="28"/>
      <c r="J106" s="28"/>
      <c r="K106" s="51"/>
      <c r="L106" s="51"/>
      <c r="M106" s="51"/>
    </row>
    <row r="107" spans="3:14">
      <c r="C107" s="37" t="s">
        <v>42</v>
      </c>
      <c r="D107" s="37" t="s">
        <v>297</v>
      </c>
      <c r="E107" s="28"/>
      <c r="F107" s="28"/>
      <c r="G107" s="28"/>
      <c r="H107" s="28"/>
      <c r="I107" s="28"/>
      <c r="J107" s="28"/>
      <c r="K107" s="28"/>
    </row>
    <row r="108" spans="3:14">
      <c r="C108" s="2" t="s">
        <v>298</v>
      </c>
      <c r="D108" s="52">
        <f>77000*(1+SP)</f>
        <v>77000</v>
      </c>
      <c r="E108" s="29"/>
      <c r="F108" s="30"/>
      <c r="G108" s="30"/>
      <c r="H108" s="28"/>
      <c r="I108" s="28"/>
      <c r="J108" s="28"/>
      <c r="K108" s="28"/>
    </row>
    <row r="109" spans="3:14">
      <c r="C109" s="2" t="s">
        <v>436</v>
      </c>
      <c r="D109" s="52">
        <f>E90*50%</f>
        <v>18250</v>
      </c>
      <c r="E109" s="29"/>
      <c r="F109" s="30"/>
      <c r="G109" s="30"/>
      <c r="H109" s="28"/>
      <c r="I109" s="28"/>
      <c r="J109" s="28"/>
      <c r="K109" s="28"/>
    </row>
    <row r="110" spans="3:14">
      <c r="C110" s="44"/>
      <c r="D110" s="53"/>
      <c r="E110" s="29"/>
      <c r="F110" s="30"/>
      <c r="G110" s="30"/>
      <c r="H110" s="28"/>
      <c r="I110" s="28"/>
      <c r="J110" s="28"/>
      <c r="K110" s="28"/>
    </row>
    <row r="112" spans="3:14">
      <c r="C112" s="37" t="s">
        <v>438</v>
      </c>
      <c r="D112" s="37" t="s">
        <v>440</v>
      </c>
    </row>
    <row r="113" spans="3:5">
      <c r="C113" s="2" t="s">
        <v>439</v>
      </c>
      <c r="D113" s="52">
        <v>1</v>
      </c>
    </row>
    <row r="114" spans="3:5">
      <c r="C114" s="44" t="s">
        <v>441</v>
      </c>
      <c r="D114" s="85">
        <v>0.5</v>
      </c>
    </row>
    <row r="116" spans="3:5">
      <c r="C116" s="37" t="s">
        <v>25</v>
      </c>
      <c r="D116" s="37" t="s">
        <v>26</v>
      </c>
      <c r="E116" s="94"/>
    </row>
    <row r="117" spans="3:5">
      <c r="C117" s="2" t="s">
        <v>92</v>
      </c>
      <c r="D117" s="96">
        <v>0.75</v>
      </c>
    </row>
    <row r="118" spans="3:5">
      <c r="C118" s="2" t="s">
        <v>300</v>
      </c>
      <c r="D118" s="96">
        <v>0.5</v>
      </c>
    </row>
    <row r="119" spans="3:5">
      <c r="C119" s="2" t="s">
        <v>91</v>
      </c>
      <c r="D119" s="96">
        <v>0.25</v>
      </c>
      <c r="E119" s="95"/>
    </row>
    <row r="120" spans="3:5">
      <c r="C120" s="2" t="s">
        <v>102</v>
      </c>
      <c r="D120" s="96">
        <v>1.5</v>
      </c>
    </row>
    <row r="121" spans="3:5">
      <c r="C121" s="2" t="s">
        <v>84</v>
      </c>
      <c r="D121" s="51">
        <v>0.01</v>
      </c>
      <c r="E121" s="2" t="s">
        <v>299</v>
      </c>
    </row>
    <row r="122" spans="3:5">
      <c r="C122" s="2" t="s">
        <v>432</v>
      </c>
      <c r="D122" s="96">
        <v>1</v>
      </c>
    </row>
    <row r="123" spans="3:5">
      <c r="D123" s="95"/>
    </row>
    <row r="124" spans="3:5">
      <c r="C124" s="2" t="s">
        <v>52</v>
      </c>
      <c r="D124" s="240">
        <v>0.02</v>
      </c>
      <c r="E124" s="2" t="s">
        <v>425</v>
      </c>
    </row>
    <row r="125" spans="3:5">
      <c r="C125" s="2" t="s">
        <v>111</v>
      </c>
      <c r="D125" s="97">
        <f>E43</f>
        <v>0.1</v>
      </c>
    </row>
    <row r="126" spans="3:5">
      <c r="C126" s="44" t="s">
        <v>27</v>
      </c>
      <c r="D126" s="98">
        <v>0.25</v>
      </c>
    </row>
    <row r="127" spans="3:5">
      <c r="D127" s="31"/>
    </row>
    <row r="129" spans="3:5">
      <c r="C129" s="37" t="s">
        <v>28</v>
      </c>
      <c r="D129" s="37"/>
      <c r="E129" s="37"/>
    </row>
    <row r="130" spans="3:5" ht="28">
      <c r="D130" s="99" t="s">
        <v>307</v>
      </c>
      <c r="E130" s="99" t="s">
        <v>29</v>
      </c>
    </row>
    <row r="131" spans="3:5">
      <c r="C131" s="2" t="s">
        <v>30</v>
      </c>
      <c r="D131" s="100">
        <v>0</v>
      </c>
      <c r="E131" s="100">
        <v>0</v>
      </c>
    </row>
    <row r="132" spans="3:5">
      <c r="C132" s="2" t="s">
        <v>31</v>
      </c>
      <c r="D132" s="100">
        <v>3.1699999999999999E-2</v>
      </c>
      <c r="E132" s="100">
        <v>0.1</v>
      </c>
    </row>
    <row r="133" spans="3:5">
      <c r="C133" s="2" t="s">
        <v>32</v>
      </c>
      <c r="D133" s="100">
        <v>3.1699999999999999E-2</v>
      </c>
      <c r="E133" s="100">
        <v>0.1</v>
      </c>
    </row>
    <row r="134" spans="3:5">
      <c r="C134" s="2" t="s">
        <v>12</v>
      </c>
      <c r="D134" s="100">
        <v>6.3299999999999995E-2</v>
      </c>
      <c r="E134" s="100">
        <v>0.15</v>
      </c>
    </row>
    <row r="135" spans="3:5">
      <c r="C135" s="2" t="s">
        <v>33</v>
      </c>
      <c r="D135" s="100">
        <v>9.5000000000000001E-2</v>
      </c>
      <c r="E135" s="100">
        <v>0.15</v>
      </c>
    </row>
    <row r="136" spans="3:5">
      <c r="C136" s="2" t="s">
        <v>217</v>
      </c>
      <c r="D136" s="100">
        <v>9.5000000000000001E-2</v>
      </c>
      <c r="E136" s="100">
        <v>0.15</v>
      </c>
    </row>
    <row r="137" spans="3:5">
      <c r="C137" s="2" t="s">
        <v>66</v>
      </c>
      <c r="D137" s="100">
        <v>0.19</v>
      </c>
      <c r="E137" s="100">
        <v>0.15</v>
      </c>
    </row>
    <row r="138" spans="3:5">
      <c r="C138" s="2" t="s">
        <v>73</v>
      </c>
      <c r="D138" s="100">
        <v>0.1583</v>
      </c>
      <c r="E138" s="100">
        <v>0.6</v>
      </c>
    </row>
    <row r="139" spans="3:5">
      <c r="C139" s="2" t="s">
        <v>74</v>
      </c>
      <c r="D139" s="100">
        <v>9.5000000000000001E-2</v>
      </c>
      <c r="E139" s="100">
        <v>0.1</v>
      </c>
    </row>
    <row r="140" spans="3:5">
      <c r="C140" s="44" t="s">
        <v>65</v>
      </c>
      <c r="D140" s="101">
        <v>0.95</v>
      </c>
      <c r="E140" s="101" t="s">
        <v>0</v>
      </c>
    </row>
    <row r="143" spans="3:5">
      <c r="C143" s="37" t="s">
        <v>34</v>
      </c>
      <c r="D143" s="37"/>
    </row>
    <row r="144" spans="3:5">
      <c r="C144" s="102" t="s">
        <v>301</v>
      </c>
      <c r="D144" s="103">
        <v>0.22</v>
      </c>
    </row>
    <row r="145" spans="3:4">
      <c r="C145" s="102" t="s">
        <v>302</v>
      </c>
      <c r="D145" s="103">
        <v>0.15</v>
      </c>
    </row>
    <row r="146" spans="3:4">
      <c r="C146" s="102" t="s">
        <v>304</v>
      </c>
      <c r="D146" s="103">
        <v>0.1</v>
      </c>
    </row>
    <row r="147" spans="3:4">
      <c r="C147" s="102" t="s">
        <v>303</v>
      </c>
      <c r="D147" s="103">
        <v>0.04</v>
      </c>
    </row>
    <row r="148" spans="3:4">
      <c r="C148" s="102" t="s">
        <v>305</v>
      </c>
      <c r="D148" s="104">
        <f>(D144+D144*D146)*(1+D147)</f>
        <v>0.25168000000000001</v>
      </c>
    </row>
    <row r="149" spans="3:4">
      <c r="C149" s="105" t="s">
        <v>306</v>
      </c>
      <c r="D149" s="106">
        <f>(D145+D145*D146)*(1+D147)</f>
        <v>0.17159999999999997</v>
      </c>
    </row>
    <row r="151" spans="3:4">
      <c r="C151" s="2" t="s">
        <v>478</v>
      </c>
      <c r="D151" s="2">
        <v>100000</v>
      </c>
    </row>
  </sheetData>
  <conditionalFormatting sqref="D17:D28">
    <cfRule type="cellIs" dxfId="0" priority="1" operator="notEqual">
      <formula>1</formula>
    </cfRule>
  </conditionalFormatting>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002060"/>
  </sheetPr>
  <dimension ref="A1:O82"/>
  <sheetViews>
    <sheetView showGridLines="0" zoomScale="210" zoomScaleNormal="210" workbookViewId="0">
      <selection activeCell="C5" sqref="C5"/>
    </sheetView>
  </sheetViews>
  <sheetFormatPr baseColWidth="10" defaultColWidth="9.1640625" defaultRowHeight="13"/>
  <cols>
    <col min="1" max="1" width="8.33203125" style="107" customWidth="1"/>
    <col min="2" max="2" width="51.33203125" style="2" customWidth="1"/>
    <col min="3" max="3" width="10.5" style="2" customWidth="1"/>
    <col min="4" max="4" width="14.5" style="2" customWidth="1"/>
    <col min="5" max="16384" width="9.1640625" style="2"/>
  </cols>
  <sheetData>
    <row r="1" spans="2:15">
      <c r="E1" s="32"/>
      <c r="F1" s="32"/>
      <c r="G1" s="32"/>
      <c r="H1" s="32"/>
      <c r="I1" s="32"/>
      <c r="J1" s="32"/>
      <c r="K1" s="32"/>
      <c r="L1" s="32"/>
      <c r="M1" s="32"/>
      <c r="N1" s="32"/>
      <c r="O1" s="32"/>
    </row>
    <row r="2" spans="2:15">
      <c r="B2" s="37" t="s">
        <v>133</v>
      </c>
      <c r="C2" s="37"/>
      <c r="D2" s="115"/>
      <c r="E2" s="32"/>
      <c r="F2" s="32"/>
      <c r="G2" s="32"/>
      <c r="H2" s="32"/>
      <c r="I2" s="32"/>
      <c r="J2" s="32"/>
      <c r="K2" s="32"/>
      <c r="L2" s="32"/>
      <c r="M2" s="32"/>
      <c r="N2" s="32"/>
      <c r="O2" s="32"/>
    </row>
    <row r="3" spans="2:15">
      <c r="D3" s="114"/>
      <c r="E3" s="32"/>
      <c r="F3" s="32"/>
      <c r="G3" s="32"/>
      <c r="H3" s="32"/>
      <c r="I3" s="32"/>
      <c r="J3" s="132" t="s">
        <v>320</v>
      </c>
      <c r="K3" s="32"/>
      <c r="L3" s="32"/>
      <c r="M3" s="32"/>
      <c r="N3" s="32"/>
      <c r="O3" s="32"/>
    </row>
    <row r="4" spans="2:15">
      <c r="B4" s="37" t="s">
        <v>134</v>
      </c>
      <c r="C4" s="37" t="s">
        <v>82</v>
      </c>
      <c r="D4" s="115"/>
      <c r="H4" s="32"/>
      <c r="I4" s="32"/>
      <c r="J4" s="32"/>
      <c r="K4" s="29">
        <f>C14+C16+C18</f>
        <v>5.4958333333333336</v>
      </c>
      <c r="L4" s="32"/>
      <c r="M4" s="32"/>
      <c r="N4" s="32"/>
      <c r="O4" s="32"/>
    </row>
    <row r="5" spans="2:15">
      <c r="B5" s="2" t="s">
        <v>262</v>
      </c>
      <c r="C5" s="89">
        <f>D27*(1+PC)</f>
        <v>9.5</v>
      </c>
      <c r="D5" s="116"/>
      <c r="H5" s="32"/>
      <c r="I5" s="32"/>
      <c r="J5" s="130">
        <f t="shared" ref="J5:J13" si="0">C5/SUM($C$5:$C$13)</f>
        <v>6.4846416382252553E-2</v>
      </c>
      <c r="K5" s="131">
        <f t="shared" ref="K5:K13" si="1">$K$4*J5</f>
        <v>0.35638509670079632</v>
      </c>
      <c r="L5" s="29">
        <f t="shared" ref="L5:L13" si="2">C5+K5</f>
        <v>9.8563850967007962</v>
      </c>
      <c r="M5" s="32"/>
      <c r="N5" s="32"/>
      <c r="O5" s="32"/>
    </row>
    <row r="6" spans="2:15">
      <c r="B6" s="2" t="s">
        <v>31</v>
      </c>
      <c r="C6" s="89">
        <f>D32*(1+PC)</f>
        <v>0</v>
      </c>
      <c r="D6" s="116"/>
      <c r="H6" s="32"/>
      <c r="I6" s="32"/>
      <c r="J6" s="130">
        <f t="shared" si="0"/>
        <v>0</v>
      </c>
      <c r="K6" s="131">
        <f t="shared" si="1"/>
        <v>0</v>
      </c>
      <c r="L6" s="29">
        <f t="shared" si="2"/>
        <v>0</v>
      </c>
      <c r="M6" s="32"/>
      <c r="N6" s="32"/>
      <c r="O6" s="32"/>
    </row>
    <row r="7" spans="2:15">
      <c r="B7" s="2" t="s">
        <v>32</v>
      </c>
      <c r="C7" s="89">
        <f>D37*(1+PC)</f>
        <v>0</v>
      </c>
      <c r="D7" s="116"/>
      <c r="H7" s="32"/>
      <c r="I7" s="32"/>
      <c r="J7" s="130">
        <f t="shared" si="0"/>
        <v>0</v>
      </c>
      <c r="K7" s="131">
        <f t="shared" si="1"/>
        <v>0</v>
      </c>
      <c r="L7" s="29">
        <f t="shared" si="2"/>
        <v>0</v>
      </c>
      <c r="M7" s="32"/>
      <c r="N7" s="32"/>
      <c r="O7" s="32"/>
    </row>
    <row r="8" spans="2:15">
      <c r="B8" s="2" t="s">
        <v>12</v>
      </c>
      <c r="C8" s="89">
        <f>E55*(1+PC)</f>
        <v>120</v>
      </c>
      <c r="D8" s="116"/>
      <c r="H8" s="32"/>
      <c r="I8" s="32"/>
      <c r="J8" s="130">
        <f t="shared" si="0"/>
        <v>0.8191126279863481</v>
      </c>
      <c r="K8" s="131">
        <f t="shared" si="1"/>
        <v>4.5017064846416384</v>
      </c>
      <c r="L8" s="29">
        <f t="shared" si="2"/>
        <v>124.50170648464164</v>
      </c>
      <c r="M8" s="32"/>
      <c r="N8" s="32"/>
      <c r="O8" s="32"/>
    </row>
    <row r="9" spans="2:15">
      <c r="B9" s="2" t="s">
        <v>33</v>
      </c>
      <c r="C9" s="89">
        <f>E60*(1+PC)</f>
        <v>14</v>
      </c>
      <c r="D9" s="116"/>
      <c r="H9" s="32"/>
      <c r="I9" s="32"/>
      <c r="J9" s="130">
        <f t="shared" si="0"/>
        <v>9.556313993174062E-2</v>
      </c>
      <c r="K9" s="131">
        <f t="shared" si="1"/>
        <v>0.52519908987485786</v>
      </c>
      <c r="L9" s="29">
        <f t="shared" si="2"/>
        <v>14.525199089874858</v>
      </c>
      <c r="M9" s="32"/>
      <c r="N9" s="32"/>
      <c r="O9" s="32"/>
    </row>
    <row r="10" spans="2:15">
      <c r="B10" s="2" t="s">
        <v>13</v>
      </c>
      <c r="C10" s="89">
        <f>E64*(1+PC)</f>
        <v>0</v>
      </c>
      <c r="D10" s="116"/>
      <c r="H10" s="32"/>
      <c r="I10" s="32"/>
      <c r="J10" s="130">
        <f t="shared" si="0"/>
        <v>0</v>
      </c>
      <c r="K10" s="131">
        <f t="shared" si="1"/>
        <v>0</v>
      </c>
      <c r="L10" s="29">
        <f t="shared" si="2"/>
        <v>0</v>
      </c>
      <c r="M10" s="32"/>
      <c r="N10" s="32"/>
      <c r="O10" s="32"/>
    </row>
    <row r="11" spans="2:15">
      <c r="B11" s="2" t="s">
        <v>66</v>
      </c>
      <c r="C11" s="89">
        <f>E68*(1+PC)</f>
        <v>0</v>
      </c>
      <c r="D11" s="116"/>
      <c r="H11" s="32"/>
      <c r="I11" s="32"/>
      <c r="J11" s="130">
        <f t="shared" si="0"/>
        <v>0</v>
      </c>
      <c r="K11" s="131">
        <f t="shared" si="1"/>
        <v>0</v>
      </c>
      <c r="L11" s="29">
        <f t="shared" si="2"/>
        <v>0</v>
      </c>
      <c r="M11" s="32"/>
      <c r="N11" s="32"/>
      <c r="O11" s="32"/>
    </row>
    <row r="12" spans="2:15">
      <c r="B12" s="2" t="s">
        <v>73</v>
      </c>
      <c r="C12" s="89">
        <f>E72*(1+PC)</f>
        <v>1</v>
      </c>
      <c r="D12" s="116"/>
      <c r="H12" s="32"/>
      <c r="I12" s="32"/>
      <c r="J12" s="130">
        <f t="shared" si="0"/>
        <v>6.8259385665529011E-3</v>
      </c>
      <c r="K12" s="131">
        <f t="shared" si="1"/>
        <v>3.751422070534699E-2</v>
      </c>
      <c r="L12" s="29">
        <f t="shared" si="2"/>
        <v>1.0375142207053469</v>
      </c>
      <c r="M12" s="32"/>
      <c r="N12" s="32"/>
      <c r="O12" s="32"/>
    </row>
    <row r="13" spans="2:15">
      <c r="B13" s="2" t="s">
        <v>74</v>
      </c>
      <c r="C13" s="89">
        <f>E76*(1+PC)</f>
        <v>2</v>
      </c>
      <c r="D13" s="116"/>
      <c r="H13" s="32"/>
      <c r="I13" s="32"/>
      <c r="J13" s="130">
        <f t="shared" si="0"/>
        <v>1.3651877133105802E-2</v>
      </c>
      <c r="K13" s="131">
        <f t="shared" si="1"/>
        <v>7.502844141069398E-2</v>
      </c>
      <c r="L13" s="29">
        <f t="shared" si="2"/>
        <v>2.0750284414106939</v>
      </c>
      <c r="M13" s="32"/>
      <c r="N13" s="32"/>
      <c r="O13" s="32"/>
    </row>
    <row r="14" spans="2:15">
      <c r="B14" s="2" t="s">
        <v>213</v>
      </c>
      <c r="C14" s="89">
        <f>SUM(C5:C13)*Assumptions!D30</f>
        <v>2.1974999999999998</v>
      </c>
      <c r="D14" s="116"/>
      <c r="E14" s="32"/>
      <c r="F14" s="32"/>
      <c r="G14" s="32"/>
      <c r="H14" s="32"/>
      <c r="I14" s="32"/>
      <c r="J14" s="32"/>
      <c r="K14" s="32"/>
      <c r="L14" s="29">
        <f>SUM(L5:L13)</f>
        <v>151.99583333333334</v>
      </c>
      <c r="M14" s="32"/>
      <c r="N14" s="32"/>
      <c r="O14" s="32"/>
    </row>
    <row r="15" spans="2:15">
      <c r="B15" s="121" t="s">
        <v>135</v>
      </c>
      <c r="C15" s="123">
        <f>SUM(C5:C14)</f>
        <v>148.69749999999999</v>
      </c>
      <c r="D15" s="116"/>
      <c r="E15" s="32"/>
      <c r="F15" s="32"/>
      <c r="G15" s="32"/>
      <c r="H15" s="32"/>
      <c r="I15" s="32"/>
      <c r="J15" s="32"/>
      <c r="K15" s="138" t="s">
        <v>76</v>
      </c>
      <c r="L15" s="164">
        <f>L14+C17-C21</f>
        <v>0</v>
      </c>
      <c r="M15" s="32"/>
      <c r="N15" s="32"/>
      <c r="O15" s="32"/>
    </row>
    <row r="16" spans="2:15">
      <c r="B16" s="2" t="s">
        <v>136</v>
      </c>
      <c r="C16" s="89">
        <f>D82</f>
        <v>0.5</v>
      </c>
      <c r="D16" s="117"/>
      <c r="E16" s="32"/>
      <c r="F16" s="32"/>
      <c r="G16" s="32"/>
      <c r="H16" s="32"/>
      <c r="I16" s="32"/>
      <c r="J16" s="32"/>
      <c r="K16" s="32"/>
      <c r="L16" s="32"/>
      <c r="M16" s="32"/>
      <c r="N16" s="32"/>
      <c r="O16" s="32"/>
    </row>
    <row r="17" spans="2:15">
      <c r="B17" s="2" t="s">
        <v>316</v>
      </c>
      <c r="C17" s="265">
        <f>WC!E18</f>
        <v>26.190407300000004</v>
      </c>
      <c r="D17" s="117"/>
      <c r="E17" s="32"/>
      <c r="F17" s="32"/>
      <c r="G17" s="32"/>
      <c r="H17" s="32"/>
      <c r="I17" s="32"/>
      <c r="J17" s="32"/>
      <c r="K17" s="32"/>
      <c r="L17" s="32"/>
      <c r="M17" s="32"/>
      <c r="N17" s="32"/>
      <c r="O17" s="32"/>
    </row>
    <row r="18" spans="2:15">
      <c r="B18" s="2" t="s">
        <v>317</v>
      </c>
      <c r="C18" s="137">
        <f>'Capex, Debt'!C114</f>
        <v>2.7983333333333333</v>
      </c>
      <c r="D18" s="117"/>
      <c r="E18" s="32"/>
      <c r="F18" s="32"/>
      <c r="G18" s="32"/>
      <c r="H18" s="32"/>
      <c r="I18" s="32"/>
      <c r="J18" s="32"/>
      <c r="K18" s="32"/>
      <c r="L18" s="32"/>
      <c r="M18" s="32"/>
      <c r="N18" s="32"/>
      <c r="O18" s="32"/>
    </row>
    <row r="19" spans="2:15">
      <c r="B19" s="121" t="s">
        <v>138</v>
      </c>
      <c r="C19" s="124">
        <f>SUM(C16:C18)</f>
        <v>29.488740633333336</v>
      </c>
      <c r="D19" s="118"/>
      <c r="E19" s="32"/>
      <c r="F19" s="32"/>
      <c r="G19" s="32"/>
      <c r="H19" s="32"/>
      <c r="I19" s="32"/>
      <c r="J19" s="32"/>
      <c r="K19" s="32"/>
      <c r="L19" s="32"/>
      <c r="M19" s="32"/>
      <c r="N19" s="32"/>
      <c r="O19" s="32"/>
    </row>
    <row r="20" spans="2:15">
      <c r="C20" s="89"/>
      <c r="D20" s="114"/>
      <c r="E20" s="32"/>
      <c r="F20" s="32"/>
      <c r="G20" s="32"/>
      <c r="H20" s="32"/>
      <c r="I20" s="32"/>
      <c r="J20" s="32"/>
      <c r="K20" s="32"/>
      <c r="L20" s="32"/>
      <c r="M20" s="32"/>
      <c r="N20" s="32"/>
      <c r="O20" s="32"/>
    </row>
    <row r="21" spans="2:15">
      <c r="B21" s="122" t="s">
        <v>139</v>
      </c>
      <c r="C21" s="125">
        <f>C15+C19</f>
        <v>178.18624063333334</v>
      </c>
      <c r="D21" s="119"/>
      <c r="E21" s="32"/>
      <c r="F21" s="32"/>
      <c r="G21" s="32"/>
      <c r="H21" s="32"/>
      <c r="I21" s="32"/>
      <c r="J21" s="32"/>
      <c r="K21" s="32"/>
      <c r="L21" s="32"/>
      <c r="M21" s="32"/>
      <c r="N21" s="32"/>
      <c r="O21" s="32"/>
    </row>
    <row r="22" spans="2:15">
      <c r="D22" s="114"/>
      <c r="E22" s="32"/>
      <c r="F22" s="32"/>
      <c r="G22" s="32"/>
      <c r="H22" s="32"/>
      <c r="I22" s="32"/>
      <c r="J22" s="32"/>
      <c r="K22" s="32"/>
      <c r="L22" s="32"/>
      <c r="M22" s="32"/>
      <c r="N22" s="32"/>
      <c r="O22" s="32"/>
    </row>
    <row r="23" spans="2:15">
      <c r="B23" s="37" t="s">
        <v>308</v>
      </c>
      <c r="C23" s="37"/>
      <c r="D23" s="61" t="s">
        <v>310</v>
      </c>
      <c r="E23" s="32"/>
      <c r="F23" s="32"/>
      <c r="G23" s="32"/>
      <c r="H23" s="32"/>
      <c r="I23" s="32"/>
      <c r="J23" s="32"/>
      <c r="K23" s="32"/>
      <c r="L23" s="32"/>
      <c r="M23" s="32"/>
      <c r="N23" s="32"/>
      <c r="O23" s="32"/>
    </row>
    <row r="24" spans="2:15">
      <c r="B24" s="111"/>
      <c r="C24" s="111"/>
      <c r="D24" s="111"/>
      <c r="E24" s="32"/>
      <c r="F24" s="32"/>
      <c r="G24" s="32"/>
      <c r="H24" s="32"/>
      <c r="I24" s="32"/>
      <c r="J24" s="32"/>
      <c r="K24" s="32"/>
      <c r="L24" s="32"/>
      <c r="M24" s="32"/>
      <c r="N24" s="32"/>
      <c r="O24" s="32"/>
    </row>
    <row r="25" spans="2:15">
      <c r="B25" s="32" t="s">
        <v>455</v>
      </c>
      <c r="C25" s="111"/>
      <c r="D25" s="32">
        <v>4.5</v>
      </c>
      <c r="E25" s="32"/>
      <c r="F25" s="32"/>
      <c r="G25" s="32"/>
      <c r="H25" s="32"/>
      <c r="I25" s="32"/>
      <c r="J25" s="32"/>
      <c r="K25" s="32"/>
      <c r="L25" s="32"/>
      <c r="M25" s="32"/>
      <c r="N25" s="32"/>
      <c r="O25" s="32"/>
    </row>
    <row r="26" spans="2:15">
      <c r="B26" s="44" t="s">
        <v>309</v>
      </c>
      <c r="C26" s="44"/>
      <c r="D26" s="44">
        <v>5</v>
      </c>
    </row>
    <row r="27" spans="2:15">
      <c r="B27" s="81"/>
      <c r="C27" s="81"/>
      <c r="D27" s="81">
        <f>D25+D26</f>
        <v>9.5</v>
      </c>
    </row>
    <row r="29" spans="2:15">
      <c r="B29" s="37" t="s">
        <v>31</v>
      </c>
      <c r="C29" s="37"/>
      <c r="D29" s="61" t="s">
        <v>310</v>
      </c>
    </row>
    <row r="30" spans="2:15">
      <c r="B30" s="111"/>
      <c r="C30" s="111"/>
      <c r="D30" s="111"/>
    </row>
    <row r="31" spans="2:15">
      <c r="B31" s="44" t="s">
        <v>31</v>
      </c>
      <c r="C31" s="44"/>
      <c r="D31" s="44">
        <v>0</v>
      </c>
    </row>
    <row r="32" spans="2:15">
      <c r="B32" s="81"/>
      <c r="C32" s="81"/>
      <c r="D32" s="81">
        <f>D31</f>
        <v>0</v>
      </c>
    </row>
    <row r="34" spans="1:5">
      <c r="B34" s="37" t="s">
        <v>32</v>
      </c>
      <c r="C34" s="37"/>
      <c r="D34" s="61" t="s">
        <v>310</v>
      </c>
    </row>
    <row r="35" spans="1:5">
      <c r="B35" s="111"/>
      <c r="C35" s="111"/>
      <c r="D35" s="111"/>
    </row>
    <row r="36" spans="1:5">
      <c r="B36" s="44" t="s">
        <v>32</v>
      </c>
      <c r="C36" s="44"/>
      <c r="D36" s="44">
        <v>0</v>
      </c>
    </row>
    <row r="37" spans="1:5">
      <c r="B37" s="81"/>
      <c r="C37" s="81"/>
      <c r="D37" s="81">
        <f>D36</f>
        <v>0</v>
      </c>
    </row>
    <row r="39" spans="1:5" ht="14">
      <c r="B39" s="37" t="s">
        <v>12</v>
      </c>
      <c r="C39" s="112" t="s">
        <v>233</v>
      </c>
      <c r="D39" s="112" t="s">
        <v>314</v>
      </c>
      <c r="E39" s="112" t="s">
        <v>310</v>
      </c>
    </row>
    <row r="40" spans="1:5">
      <c r="B40" s="111"/>
      <c r="C40" s="111"/>
      <c r="D40" s="111"/>
    </row>
    <row r="41" spans="1:5" ht="98">
      <c r="A41" s="110"/>
      <c r="B41" s="113" t="s">
        <v>231</v>
      </c>
      <c r="C41" s="56">
        <v>1</v>
      </c>
      <c r="D41" s="56" t="s">
        <v>232</v>
      </c>
      <c r="E41" s="225">
        <v>70</v>
      </c>
    </row>
    <row r="42" spans="1:5" ht="15">
      <c r="A42" s="110"/>
      <c r="B42" s="2" t="s">
        <v>234</v>
      </c>
      <c r="C42" s="56">
        <v>2</v>
      </c>
      <c r="D42" s="56" t="s">
        <v>258</v>
      </c>
      <c r="E42" s="225">
        <v>14</v>
      </c>
    </row>
    <row r="43" spans="1:5" ht="15">
      <c r="A43" s="110"/>
      <c r="B43" s="2" t="s">
        <v>236</v>
      </c>
      <c r="C43" s="56">
        <v>1</v>
      </c>
      <c r="D43" s="56" t="s">
        <v>259</v>
      </c>
      <c r="E43" s="225">
        <v>2</v>
      </c>
    </row>
    <row r="44" spans="1:5" ht="15">
      <c r="A44" s="110"/>
      <c r="B44" s="2" t="s">
        <v>237</v>
      </c>
      <c r="C44" s="56">
        <v>1</v>
      </c>
      <c r="D44" s="56" t="s">
        <v>260</v>
      </c>
      <c r="E44" s="225">
        <v>4</v>
      </c>
    </row>
    <row r="45" spans="1:5" ht="15">
      <c r="A45" s="110"/>
      <c r="B45" s="2" t="s">
        <v>238</v>
      </c>
      <c r="C45" s="56">
        <v>1</v>
      </c>
      <c r="D45" s="56" t="s">
        <v>261</v>
      </c>
      <c r="E45" s="225">
        <v>9</v>
      </c>
    </row>
    <row r="46" spans="1:5" ht="15">
      <c r="A46" s="110"/>
      <c r="B46" s="2" t="s">
        <v>239</v>
      </c>
      <c r="C46" s="56">
        <v>3</v>
      </c>
      <c r="D46" s="56"/>
      <c r="E46" s="225">
        <v>6</v>
      </c>
    </row>
    <row r="47" spans="1:5" ht="15">
      <c r="A47" s="110"/>
      <c r="B47" s="2" t="s">
        <v>240</v>
      </c>
      <c r="C47" s="56">
        <v>1</v>
      </c>
      <c r="D47" s="56" t="s">
        <v>250</v>
      </c>
      <c r="E47" s="225">
        <v>3</v>
      </c>
    </row>
    <row r="48" spans="1:5" ht="15">
      <c r="A48" s="110"/>
      <c r="B48" s="2" t="s">
        <v>241</v>
      </c>
      <c r="C48" s="56">
        <v>1</v>
      </c>
      <c r="D48" s="56" t="s">
        <v>251</v>
      </c>
      <c r="E48" s="225">
        <v>2</v>
      </c>
    </row>
    <row r="49" spans="1:5" ht="15">
      <c r="A49" s="110"/>
      <c r="B49" s="2" t="s">
        <v>242</v>
      </c>
      <c r="C49" s="56">
        <v>2</v>
      </c>
      <c r="D49" s="56" t="s">
        <v>252</v>
      </c>
      <c r="E49" s="225">
        <v>2</v>
      </c>
    </row>
    <row r="50" spans="1:5" ht="15">
      <c r="A50" s="110"/>
      <c r="B50" s="2" t="s">
        <v>243</v>
      </c>
      <c r="C50" s="56">
        <v>1</v>
      </c>
      <c r="D50" s="56" t="s">
        <v>253</v>
      </c>
      <c r="E50" s="225">
        <v>2</v>
      </c>
    </row>
    <row r="51" spans="1:5" ht="15">
      <c r="A51" s="110"/>
      <c r="B51" s="2" t="s">
        <v>244</v>
      </c>
      <c r="C51" s="56">
        <v>1</v>
      </c>
      <c r="D51" s="56" t="s">
        <v>253</v>
      </c>
      <c r="E51" s="225">
        <v>1</v>
      </c>
    </row>
    <row r="52" spans="1:5" ht="15">
      <c r="A52" s="110"/>
      <c r="B52" s="2" t="s">
        <v>245</v>
      </c>
      <c r="C52" s="56">
        <v>4</v>
      </c>
      <c r="D52" s="56" t="s">
        <v>254</v>
      </c>
      <c r="E52" s="225">
        <v>2</v>
      </c>
    </row>
    <row r="53" spans="1:5" ht="15">
      <c r="A53" s="110"/>
      <c r="B53" s="2" t="s">
        <v>246</v>
      </c>
      <c r="C53" s="56">
        <v>2</v>
      </c>
      <c r="D53" s="56" t="s">
        <v>254</v>
      </c>
      <c r="E53" s="225">
        <v>1</v>
      </c>
    </row>
    <row r="54" spans="1:5" ht="15">
      <c r="A54" s="110"/>
      <c r="B54" s="44" t="s">
        <v>249</v>
      </c>
      <c r="C54" s="126" t="s">
        <v>235</v>
      </c>
      <c r="D54" s="126"/>
      <c r="E54" s="226">
        <v>2</v>
      </c>
    </row>
    <row r="55" spans="1:5">
      <c r="B55" s="81"/>
      <c r="C55" s="81"/>
      <c r="D55" s="81"/>
      <c r="E55" s="123">
        <f>SUM(E41:E54)</f>
        <v>120</v>
      </c>
    </row>
    <row r="56" spans="1:5">
      <c r="E56" s="89"/>
    </row>
    <row r="57" spans="1:5" ht="15">
      <c r="A57" s="108"/>
      <c r="B57" s="37" t="s">
        <v>33</v>
      </c>
      <c r="C57" s="112" t="s">
        <v>233</v>
      </c>
      <c r="D57" s="112" t="s">
        <v>314</v>
      </c>
      <c r="E57" s="112" t="s">
        <v>310</v>
      </c>
    </row>
    <row r="58" spans="1:5" ht="15">
      <c r="A58" s="110"/>
      <c r="B58" s="2" t="s">
        <v>247</v>
      </c>
      <c r="C58" s="2">
        <v>1</v>
      </c>
      <c r="D58" s="2" t="s">
        <v>255</v>
      </c>
      <c r="E58" s="2">
        <v>8</v>
      </c>
    </row>
    <row r="59" spans="1:5" ht="15">
      <c r="A59" s="110"/>
      <c r="B59" s="44" t="s">
        <v>248</v>
      </c>
      <c r="C59" s="44" t="s">
        <v>235</v>
      </c>
      <c r="D59" s="44" t="s">
        <v>256</v>
      </c>
      <c r="E59" s="44">
        <v>6</v>
      </c>
    </row>
    <row r="60" spans="1:5" ht="15">
      <c r="A60" s="110"/>
      <c r="B60" s="81"/>
      <c r="C60" s="81"/>
      <c r="D60" s="81"/>
      <c r="E60" s="81">
        <f>E58+E59</f>
        <v>14</v>
      </c>
    </row>
    <row r="61" spans="1:5" ht="15">
      <c r="A61" s="110"/>
      <c r="E61" s="89"/>
    </row>
    <row r="62" spans="1:5" ht="15">
      <c r="A62" s="110"/>
      <c r="B62" s="37" t="s">
        <v>217</v>
      </c>
      <c r="C62" s="112" t="s">
        <v>233</v>
      </c>
      <c r="D62" s="112" t="s">
        <v>314</v>
      </c>
      <c r="E62" s="112" t="s">
        <v>310</v>
      </c>
    </row>
    <row r="63" spans="1:5" ht="15">
      <c r="A63" s="110"/>
      <c r="B63" s="44" t="s">
        <v>217</v>
      </c>
      <c r="C63" s="44"/>
      <c r="D63" s="44"/>
      <c r="E63" s="44"/>
    </row>
    <row r="64" spans="1:5" ht="15">
      <c r="A64" s="110"/>
      <c r="B64" s="81"/>
      <c r="C64" s="81"/>
      <c r="D64" s="81"/>
      <c r="E64" s="81">
        <f>E63</f>
        <v>0</v>
      </c>
    </row>
    <row r="65" spans="1:5" ht="15">
      <c r="A65" s="110"/>
    </row>
    <row r="66" spans="1:5" ht="15">
      <c r="A66" s="110"/>
      <c r="B66" s="37" t="s">
        <v>313</v>
      </c>
      <c r="C66" s="112" t="s">
        <v>233</v>
      </c>
      <c r="D66" s="112" t="s">
        <v>314</v>
      </c>
      <c r="E66" s="112" t="s">
        <v>310</v>
      </c>
    </row>
    <row r="67" spans="1:5" ht="15">
      <c r="A67" s="110"/>
      <c r="B67" s="44" t="s">
        <v>313</v>
      </c>
      <c r="C67" s="44"/>
      <c r="D67" s="44"/>
      <c r="E67" s="44"/>
    </row>
    <row r="68" spans="1:5" ht="15">
      <c r="A68" s="110"/>
      <c r="B68" s="81"/>
      <c r="C68" s="81"/>
      <c r="D68" s="81"/>
      <c r="E68" s="81">
        <f>E67</f>
        <v>0</v>
      </c>
    </row>
    <row r="69" spans="1:5" ht="15">
      <c r="A69" s="110"/>
    </row>
    <row r="70" spans="1:5" ht="15">
      <c r="A70" s="110"/>
      <c r="B70" s="37" t="s">
        <v>312</v>
      </c>
      <c r="C70" s="112" t="s">
        <v>233</v>
      </c>
      <c r="D70" s="112" t="s">
        <v>314</v>
      </c>
      <c r="E70" s="112" t="s">
        <v>310</v>
      </c>
    </row>
    <row r="71" spans="1:5" ht="15">
      <c r="A71" s="110"/>
      <c r="B71" s="2" t="s">
        <v>312</v>
      </c>
      <c r="C71" s="2" t="s">
        <v>235</v>
      </c>
      <c r="D71" s="2" t="s">
        <v>257</v>
      </c>
      <c r="E71" s="2">
        <v>1</v>
      </c>
    </row>
    <row r="72" spans="1:5" ht="15">
      <c r="A72" s="110"/>
      <c r="B72" s="81"/>
      <c r="C72" s="81"/>
      <c r="D72" s="81"/>
      <c r="E72" s="81">
        <f>E71</f>
        <v>1</v>
      </c>
    </row>
    <row r="73" spans="1:5" ht="15">
      <c r="A73" s="110"/>
    </row>
    <row r="74" spans="1:5" ht="15">
      <c r="A74" s="110"/>
      <c r="B74" s="37" t="s">
        <v>74</v>
      </c>
      <c r="C74" s="112" t="s">
        <v>233</v>
      </c>
      <c r="D74" s="112" t="s">
        <v>314</v>
      </c>
      <c r="E74" s="112" t="s">
        <v>310</v>
      </c>
    </row>
    <row r="75" spans="1:5" ht="15">
      <c r="A75" s="110"/>
      <c r="B75" s="44" t="s">
        <v>311</v>
      </c>
      <c r="C75" s="44" t="s">
        <v>235</v>
      </c>
      <c r="D75" s="44" t="s">
        <v>257</v>
      </c>
      <c r="E75" s="44">
        <v>2</v>
      </c>
    </row>
    <row r="76" spans="1:5" ht="15">
      <c r="A76" s="110"/>
      <c r="B76" s="81"/>
      <c r="C76" s="81"/>
      <c r="D76" s="81"/>
      <c r="E76" s="81">
        <f>E75</f>
        <v>2</v>
      </c>
    </row>
    <row r="79" spans="1:5">
      <c r="B79" s="37" t="s">
        <v>315</v>
      </c>
      <c r="C79" s="37"/>
      <c r="D79" s="61" t="s">
        <v>310</v>
      </c>
    </row>
    <row r="80" spans="1:5">
      <c r="B80" s="111"/>
      <c r="C80" s="111"/>
      <c r="D80" s="111"/>
    </row>
    <row r="81" spans="2:4">
      <c r="B81" s="44" t="s">
        <v>315</v>
      </c>
      <c r="C81" s="44"/>
      <c r="D81" s="44">
        <v>0.5</v>
      </c>
    </row>
    <row r="82" spans="2:4">
      <c r="B82" s="81"/>
      <c r="C82" s="81"/>
      <c r="D82" s="81">
        <f>D81</f>
        <v>0.5</v>
      </c>
    </row>
  </sheetData>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9">
    <tabColor rgb="FF002060"/>
  </sheetPr>
  <dimension ref="B2:EZ122"/>
  <sheetViews>
    <sheetView showGridLines="0" topLeftCell="A89" zoomScale="200" zoomScaleNormal="200" workbookViewId="0">
      <selection activeCell="N110" sqref="N110"/>
    </sheetView>
  </sheetViews>
  <sheetFormatPr baseColWidth="10" defaultColWidth="9.1640625" defaultRowHeight="13"/>
  <cols>
    <col min="1" max="1" width="5" style="2" customWidth="1"/>
    <col min="2" max="2" width="36.33203125" style="2" bestFit="1" customWidth="1"/>
    <col min="3" max="4" width="9.1640625" style="2"/>
    <col min="5" max="11" width="10.6640625" style="2" bestFit="1" customWidth="1"/>
    <col min="12" max="12" width="12.5" style="2" bestFit="1" customWidth="1"/>
    <col min="13" max="34" width="10.6640625" style="2" bestFit="1" customWidth="1"/>
    <col min="35" max="35" width="10.5" style="2" bestFit="1" customWidth="1"/>
    <col min="36" max="155" width="10.5" style="2" customWidth="1"/>
    <col min="156" max="156" width="10.1640625" style="2" customWidth="1"/>
    <col min="157" max="16384" width="9.1640625" style="2"/>
  </cols>
  <sheetData>
    <row r="2" spans="2:11">
      <c r="B2" s="39" t="s">
        <v>197</v>
      </c>
    </row>
    <row r="4" spans="2:11">
      <c r="B4" s="134" t="s">
        <v>318</v>
      </c>
      <c r="C4" s="40"/>
      <c r="D4" s="40" t="s">
        <v>319</v>
      </c>
      <c r="E4" s="40">
        <f>DATE(IF(MONTH(E5)&gt;3,YEAR(E5)+1,YEAR(E5)),3,31)</f>
        <v>44286</v>
      </c>
      <c r="F4" s="40">
        <f t="shared" ref="F4:I4" si="0">DATE(IF(MONTH(F5)&gt;3,YEAR(F5)+1,YEAR(F5)),3,31)</f>
        <v>44286</v>
      </c>
      <c r="G4" s="40">
        <f t="shared" si="0"/>
        <v>44286</v>
      </c>
      <c r="H4" s="40">
        <f t="shared" si="0"/>
        <v>44286</v>
      </c>
      <c r="I4" s="40">
        <f t="shared" si="0"/>
        <v>44286</v>
      </c>
      <c r="J4" s="40" t="s">
        <v>175</v>
      </c>
    </row>
    <row r="5" spans="2:11">
      <c r="B5" s="92"/>
      <c r="C5" s="92"/>
      <c r="D5" s="40">
        <f>EOMONTH(E5,-2)</f>
        <v>44012</v>
      </c>
      <c r="E5" s="40">
        <f>Assumptions!E16</f>
        <v>44074</v>
      </c>
      <c r="F5" s="40">
        <f>Assumptions!F16</f>
        <v>44104</v>
      </c>
      <c r="G5" s="40">
        <f>Assumptions!G16</f>
        <v>44135</v>
      </c>
      <c r="H5" s="40">
        <f>Assumptions!H16</f>
        <v>44165</v>
      </c>
      <c r="I5" s="40">
        <f>Assumptions!I16</f>
        <v>44196</v>
      </c>
      <c r="J5" s="40"/>
    </row>
    <row r="6" spans="2:11">
      <c r="B6" s="2" t="s">
        <v>262</v>
      </c>
      <c r="C6" s="89">
        <f>'Project Cost'!C5</f>
        <v>9.5</v>
      </c>
      <c r="D6" s="137"/>
      <c r="E6" s="89">
        <f>$C$6*Assumptions!E17</f>
        <v>7.6000000000000005</v>
      </c>
      <c r="F6" s="89">
        <f>$C$6*Assumptions!F17</f>
        <v>1.9000000000000001</v>
      </c>
      <c r="G6" s="89">
        <f>$C$6*Assumptions!G17</f>
        <v>0</v>
      </c>
      <c r="H6" s="89">
        <f>$C$6*Assumptions!H17</f>
        <v>0</v>
      </c>
      <c r="I6" s="89">
        <f>$C$6*Assumptions!I17</f>
        <v>0</v>
      </c>
      <c r="J6" s="27">
        <f>SUM(E6:I6)</f>
        <v>9.5</v>
      </c>
      <c r="K6" s="135" t="str">
        <f>IF(J6=C6,"OK","ERROR")</f>
        <v>OK</v>
      </c>
    </row>
    <row r="7" spans="2:11">
      <c r="B7" s="2" t="s">
        <v>31</v>
      </c>
      <c r="C7" s="89">
        <f>'Project Cost'!C6</f>
        <v>0</v>
      </c>
      <c r="D7" s="137"/>
      <c r="E7" s="89"/>
      <c r="F7" s="89"/>
      <c r="G7" s="89"/>
      <c r="H7" s="89"/>
      <c r="I7" s="89"/>
      <c r="J7" s="27"/>
      <c r="K7" s="135" t="str">
        <f>IF(J7=C7,"OK","ERROR")</f>
        <v>OK</v>
      </c>
    </row>
    <row r="8" spans="2:11">
      <c r="B8" s="2" t="s">
        <v>32</v>
      </c>
      <c r="C8" s="89">
        <f>'Project Cost'!C7</f>
        <v>0</v>
      </c>
      <c r="D8" s="137"/>
      <c r="E8" s="89"/>
      <c r="F8" s="89"/>
      <c r="G8" s="89"/>
      <c r="H8" s="89"/>
      <c r="I8" s="89"/>
      <c r="J8" s="27"/>
      <c r="K8" s="135" t="str">
        <f t="shared" ref="K8:K17" si="1">IF(J8=C8,"OK","ERROR")</f>
        <v>OK</v>
      </c>
    </row>
    <row r="9" spans="2:11">
      <c r="B9" s="2" t="s">
        <v>12</v>
      </c>
      <c r="C9" s="89">
        <f>'Project Cost'!C8</f>
        <v>120</v>
      </c>
      <c r="D9" s="137"/>
      <c r="E9" s="89">
        <f>$C$9*Assumptions!E20</f>
        <v>24</v>
      </c>
      <c r="F9" s="89">
        <f>$C$9*Assumptions!F20</f>
        <v>48</v>
      </c>
      <c r="G9" s="89">
        <f>$C$9*Assumptions!G20</f>
        <v>12</v>
      </c>
      <c r="H9" s="89">
        <f>$C$9*Assumptions!H20</f>
        <v>36</v>
      </c>
      <c r="I9" s="89">
        <f>$C$9*Assumptions!I20</f>
        <v>0</v>
      </c>
      <c r="J9" s="27">
        <f>SUM(E9:I9)</f>
        <v>120</v>
      </c>
      <c r="K9" s="135" t="str">
        <f t="shared" si="1"/>
        <v>OK</v>
      </c>
    </row>
    <row r="10" spans="2:11">
      <c r="B10" s="2" t="s">
        <v>33</v>
      </c>
      <c r="C10" s="89">
        <f>'Project Cost'!C9</f>
        <v>14</v>
      </c>
      <c r="D10" s="137"/>
      <c r="E10" s="89">
        <f>$C$10*Assumptions!E21</f>
        <v>2.8000000000000003</v>
      </c>
      <c r="F10" s="89">
        <f>$C$10*Assumptions!F21</f>
        <v>2.8000000000000003</v>
      </c>
      <c r="G10" s="89">
        <f>$C$10*Assumptions!G21</f>
        <v>2.8000000000000003</v>
      </c>
      <c r="H10" s="89">
        <f>$C$10*Assumptions!H21</f>
        <v>2.8000000000000003</v>
      </c>
      <c r="I10" s="89">
        <f>$C$10*Assumptions!I21</f>
        <v>2.7999999999999994</v>
      </c>
      <c r="J10" s="27">
        <f>SUM(E10:I10)</f>
        <v>14</v>
      </c>
      <c r="K10" s="135" t="str">
        <f t="shared" si="1"/>
        <v>OK</v>
      </c>
    </row>
    <row r="11" spans="2:11">
      <c r="B11" s="2" t="s">
        <v>13</v>
      </c>
      <c r="C11" s="89">
        <f>'Project Cost'!C10</f>
        <v>0</v>
      </c>
      <c r="D11" s="137"/>
      <c r="E11" s="89"/>
      <c r="F11" s="89"/>
      <c r="G11" s="89"/>
      <c r="H11" s="89"/>
      <c r="I11" s="89"/>
      <c r="J11" s="27"/>
      <c r="K11" s="135" t="str">
        <f t="shared" si="1"/>
        <v>OK</v>
      </c>
    </row>
    <row r="12" spans="2:11">
      <c r="B12" s="2" t="s">
        <v>66</v>
      </c>
      <c r="C12" s="89">
        <f>'Project Cost'!C11</f>
        <v>0</v>
      </c>
      <c r="D12" s="137"/>
      <c r="E12" s="89"/>
      <c r="F12" s="89"/>
      <c r="G12" s="89"/>
      <c r="H12" s="89"/>
      <c r="I12" s="89"/>
      <c r="J12" s="27"/>
      <c r="K12" s="135" t="str">
        <f t="shared" si="1"/>
        <v>OK</v>
      </c>
    </row>
    <row r="13" spans="2:11">
      <c r="B13" s="2" t="s">
        <v>73</v>
      </c>
      <c r="C13" s="89">
        <f>'Project Cost'!C12</f>
        <v>1</v>
      </c>
      <c r="D13" s="137"/>
      <c r="E13" s="89">
        <f>$C$13*Assumptions!E24</f>
        <v>0</v>
      </c>
      <c r="F13" s="89">
        <f>$C$13*Assumptions!F24</f>
        <v>0</v>
      </c>
      <c r="G13" s="89">
        <f>$C$13*Assumptions!G24</f>
        <v>0.2</v>
      </c>
      <c r="H13" s="89">
        <f>$C$13*Assumptions!H24</f>
        <v>0.3</v>
      </c>
      <c r="I13" s="89">
        <f>$C$13*Assumptions!I24</f>
        <v>0.5</v>
      </c>
      <c r="J13" s="27">
        <f t="shared" ref="J13:J18" si="2">SUM(E13:I13)</f>
        <v>1</v>
      </c>
      <c r="K13" s="135" t="str">
        <f t="shared" si="1"/>
        <v>OK</v>
      </c>
    </row>
    <row r="14" spans="2:11">
      <c r="B14" s="2" t="s">
        <v>74</v>
      </c>
      <c r="C14" s="89">
        <f>'Project Cost'!C13</f>
        <v>2</v>
      </c>
      <c r="D14" s="137"/>
      <c r="E14" s="89">
        <f>$C$14*Assumptions!E25</f>
        <v>0</v>
      </c>
      <c r="F14" s="89">
        <f>$C$14*Assumptions!F25</f>
        <v>0</v>
      </c>
      <c r="G14" s="89">
        <f>$C$14*Assumptions!G25</f>
        <v>0.4</v>
      </c>
      <c r="H14" s="89">
        <f>$C$14*Assumptions!H25</f>
        <v>0.6</v>
      </c>
      <c r="I14" s="89">
        <f>$C$14*Assumptions!I25</f>
        <v>1</v>
      </c>
      <c r="J14" s="27">
        <f t="shared" si="2"/>
        <v>2</v>
      </c>
      <c r="K14" s="135" t="str">
        <f t="shared" si="1"/>
        <v>OK</v>
      </c>
    </row>
    <row r="15" spans="2:11">
      <c r="B15" s="2" t="s">
        <v>213</v>
      </c>
      <c r="C15" s="89">
        <f>'Project Cost'!C14</f>
        <v>2.1974999999999998</v>
      </c>
      <c r="D15" s="137"/>
      <c r="E15" s="89">
        <f>$C$15*Assumptions!E27</f>
        <v>0</v>
      </c>
      <c r="F15" s="89">
        <f>$C$15*Assumptions!F27</f>
        <v>0</v>
      </c>
      <c r="G15" s="89">
        <f>$C$15*Assumptions!G27</f>
        <v>0</v>
      </c>
      <c r="H15" s="89">
        <f>$C$15*Assumptions!H27</f>
        <v>0</v>
      </c>
      <c r="I15" s="89">
        <f>$C$15*Assumptions!I27</f>
        <v>2.1974999999999998</v>
      </c>
      <c r="J15" s="27">
        <f t="shared" si="2"/>
        <v>2.1974999999999998</v>
      </c>
      <c r="K15" s="135" t="str">
        <f t="shared" si="1"/>
        <v>OK</v>
      </c>
    </row>
    <row r="16" spans="2:11">
      <c r="B16" s="2" t="s">
        <v>202</v>
      </c>
      <c r="C16" s="89">
        <f>'Project Cost'!C16</f>
        <v>0.5</v>
      </c>
      <c r="D16" s="137"/>
      <c r="E16" s="89">
        <f>$C$16*Assumptions!E26</f>
        <v>0.1</v>
      </c>
      <c r="F16" s="89">
        <f>$C$16*Assumptions!F26</f>
        <v>0.1</v>
      </c>
      <c r="G16" s="89">
        <f>$C$16*Assumptions!G26</f>
        <v>0.1</v>
      </c>
      <c r="H16" s="89">
        <f>$C$16*Assumptions!H26</f>
        <v>0.1</v>
      </c>
      <c r="I16" s="89">
        <f>$C$16*Assumptions!I26</f>
        <v>9.9999999999999978E-2</v>
      </c>
      <c r="J16" s="27">
        <f t="shared" si="2"/>
        <v>0.5</v>
      </c>
      <c r="K16" s="135" t="str">
        <f t="shared" si="1"/>
        <v>OK</v>
      </c>
    </row>
    <row r="17" spans="2:11">
      <c r="B17" s="2" t="s">
        <v>316</v>
      </c>
      <c r="C17" s="89">
        <f>'Project Cost'!C17</f>
        <v>26.190407300000004</v>
      </c>
      <c r="D17" s="137"/>
      <c r="E17" s="89">
        <f>$C$17*Assumptions!E28</f>
        <v>0</v>
      </c>
      <c r="F17" s="89">
        <f>$C$17*Assumptions!F28</f>
        <v>0</v>
      </c>
      <c r="G17" s="89">
        <f>$C$17*Assumptions!G28</f>
        <v>0</v>
      </c>
      <c r="H17" s="89">
        <f>$C$17*Assumptions!H28</f>
        <v>0</v>
      </c>
      <c r="I17" s="89">
        <f>$C$17*Assumptions!I28</f>
        <v>26.190407300000004</v>
      </c>
      <c r="J17" s="27">
        <f t="shared" si="2"/>
        <v>26.190407300000004</v>
      </c>
      <c r="K17" s="135" t="str">
        <f t="shared" si="1"/>
        <v>OK</v>
      </c>
    </row>
    <row r="18" spans="2:11">
      <c r="B18" s="2" t="s">
        <v>317</v>
      </c>
      <c r="C18" s="89">
        <f>'Project Cost'!C18</f>
        <v>2.7983333333333333</v>
      </c>
      <c r="D18" s="137"/>
      <c r="E18" s="258">
        <f>E71</f>
        <v>0.11979166666666667</v>
      </c>
      <c r="F18" s="258">
        <f t="shared" ref="F18:I18" si="3">F71</f>
        <v>0.40729166666666666</v>
      </c>
      <c r="G18" s="258">
        <f t="shared" si="3"/>
        <v>0.62291666666666667</v>
      </c>
      <c r="H18" s="258">
        <f t="shared" si="3"/>
        <v>0.7522916666666668</v>
      </c>
      <c r="I18" s="258">
        <f t="shared" si="3"/>
        <v>0.89604166666666674</v>
      </c>
      <c r="J18" s="27">
        <f t="shared" si="2"/>
        <v>2.7983333333333333</v>
      </c>
      <c r="K18" s="135" t="str">
        <f t="shared" ref="K18" si="4">IF(J18=C18,"OK","ERROR")</f>
        <v>OK</v>
      </c>
    </row>
    <row r="19" spans="2:11">
      <c r="B19" s="121" t="s">
        <v>139</v>
      </c>
      <c r="C19" s="123">
        <f t="shared" ref="C19:I19" si="5">SUM(C6:C18)</f>
        <v>178.18624063333334</v>
      </c>
      <c r="D19" s="123">
        <f t="shared" si="5"/>
        <v>0</v>
      </c>
      <c r="E19" s="123">
        <f t="shared" si="5"/>
        <v>34.619791666666664</v>
      </c>
      <c r="F19" s="123">
        <f t="shared" si="5"/>
        <v>53.207291666666663</v>
      </c>
      <c r="G19" s="123">
        <f t="shared" si="5"/>
        <v>16.122916666666665</v>
      </c>
      <c r="H19" s="123">
        <f t="shared" si="5"/>
        <v>40.552291666666662</v>
      </c>
      <c r="I19" s="123">
        <f t="shared" si="5"/>
        <v>33.683948966666669</v>
      </c>
      <c r="J19" s="123">
        <f>SUM(J6:J18)</f>
        <v>178.18624063333334</v>
      </c>
    </row>
    <row r="20" spans="2:11">
      <c r="C20" s="136" t="str">
        <f>IF(C19='Project Cost'!C21,"Ok","ERROR")</f>
        <v>Ok</v>
      </c>
      <c r="D20" s="89"/>
      <c r="E20" s="89"/>
      <c r="F20" s="89"/>
      <c r="G20" s="89"/>
      <c r="H20" s="89"/>
    </row>
    <row r="21" spans="2:11">
      <c r="B21" s="120"/>
      <c r="C21" s="89"/>
      <c r="D21" s="89"/>
      <c r="E21" s="89"/>
      <c r="F21" s="89"/>
      <c r="G21" s="89"/>
      <c r="H21" s="89"/>
    </row>
    <row r="23" spans="2:11">
      <c r="B23" s="134" t="s">
        <v>318</v>
      </c>
      <c r="C23" s="40"/>
      <c r="D23" s="40" t="s">
        <v>319</v>
      </c>
      <c r="E23" s="40">
        <f>DATE(IF(MONTH(E24)&gt;3,YEAR(E24)+1,YEAR(E24)),3,31)</f>
        <v>44286</v>
      </c>
      <c r="F23" s="40">
        <f t="shared" ref="F23" si="6">DATE(IF(MONTH(F24)&gt;3,YEAR(F24)+1,YEAR(F24)),3,31)</f>
        <v>44286</v>
      </c>
      <c r="G23" s="40">
        <f t="shared" ref="G23" si="7">DATE(IF(MONTH(G24)&gt;3,YEAR(G24)+1,YEAR(G24)),3,31)</f>
        <v>44286</v>
      </c>
      <c r="H23" s="40">
        <f t="shared" ref="H23" si="8">DATE(IF(MONTH(H24)&gt;3,YEAR(H24)+1,YEAR(H24)),3,31)</f>
        <v>44286</v>
      </c>
      <c r="I23" s="40">
        <f t="shared" ref="I23" si="9">DATE(IF(MONTH(I24)&gt;3,YEAR(I24)+1,YEAR(I24)),3,31)</f>
        <v>44286</v>
      </c>
      <c r="J23" s="40" t="s">
        <v>175</v>
      </c>
    </row>
    <row r="24" spans="2:11">
      <c r="B24" s="92"/>
      <c r="C24" s="92"/>
      <c r="D24" s="40">
        <f>EOMONTH(E24,-2)</f>
        <v>44012</v>
      </c>
      <c r="E24" s="40">
        <f>E5</f>
        <v>44074</v>
      </c>
      <c r="F24" s="40">
        <f>F5</f>
        <v>44104</v>
      </c>
      <c r="G24" s="40">
        <f>G5</f>
        <v>44135</v>
      </c>
      <c r="H24" s="40">
        <f>H5</f>
        <v>44165</v>
      </c>
      <c r="I24" s="40">
        <f>I5</f>
        <v>44196</v>
      </c>
      <c r="J24" s="40"/>
    </row>
    <row r="25" spans="2:11">
      <c r="E25" s="133"/>
      <c r="F25" s="133"/>
      <c r="G25" s="133"/>
      <c r="H25" s="133"/>
    </row>
    <row r="26" spans="2:11">
      <c r="B26" s="2" t="s">
        <v>140</v>
      </c>
      <c r="C26" s="137">
        <f>C19</f>
        <v>178.18624063333334</v>
      </c>
      <c r="D26" s="137">
        <f>D19</f>
        <v>0</v>
      </c>
      <c r="E26" s="137">
        <f>E19</f>
        <v>34.619791666666664</v>
      </c>
      <c r="F26" s="137">
        <f t="shared" ref="F26:I26" si="10">F19</f>
        <v>53.207291666666663</v>
      </c>
      <c r="G26" s="137">
        <f t="shared" si="10"/>
        <v>16.122916666666665</v>
      </c>
      <c r="H26" s="137">
        <f t="shared" si="10"/>
        <v>40.552291666666662</v>
      </c>
      <c r="I26" s="137">
        <f t="shared" si="10"/>
        <v>33.683948966666669</v>
      </c>
      <c r="J26" s="27">
        <f>SUM(D26:I26)</f>
        <v>178.18624063333331</v>
      </c>
    </row>
    <row r="27" spans="2:11">
      <c r="C27" s="137"/>
      <c r="D27" s="137"/>
      <c r="E27" s="137"/>
      <c r="F27" s="137"/>
      <c r="G27" s="137"/>
      <c r="H27" s="137"/>
    </row>
    <row r="28" spans="2:11">
      <c r="B28" s="2" t="s">
        <v>20</v>
      </c>
      <c r="C28" s="137">
        <f>Assumptions!E33*Assumptions!E40</f>
        <v>4.3186240633333339</v>
      </c>
      <c r="D28" s="137"/>
      <c r="E28" s="137"/>
      <c r="F28" s="137"/>
      <c r="G28" s="137"/>
      <c r="H28" s="137"/>
    </row>
    <row r="29" spans="2:11">
      <c r="C29" s="137"/>
      <c r="D29" s="137"/>
      <c r="E29" s="137"/>
      <c r="F29" s="137"/>
      <c r="G29" s="137"/>
      <c r="H29" s="137"/>
    </row>
    <row r="30" spans="2:11">
      <c r="B30" s="2" t="s">
        <v>141</v>
      </c>
      <c r="C30" s="137"/>
      <c r="D30" s="137"/>
      <c r="E30" s="137">
        <f>C28</f>
        <v>4.3186240633333339</v>
      </c>
      <c r="F30" s="137"/>
      <c r="G30" s="137"/>
      <c r="H30" s="137"/>
      <c r="I30" s="137"/>
      <c r="J30" s="27"/>
    </row>
    <row r="31" spans="2:11">
      <c r="B31" s="2" t="s">
        <v>142</v>
      </c>
      <c r="C31" s="27"/>
      <c r="D31" s="27"/>
      <c r="E31" s="27">
        <f>E26-E33-E30</f>
        <v>1.5511676033333304</v>
      </c>
      <c r="F31" s="27">
        <f t="shared" ref="F31:I31" si="11">F26-F33-F30</f>
        <v>12.957291666666663</v>
      </c>
      <c r="G31" s="27">
        <f t="shared" si="11"/>
        <v>4.622916666666665</v>
      </c>
      <c r="H31" s="27">
        <f t="shared" si="11"/>
        <v>21.002291666666661</v>
      </c>
      <c r="I31" s="27">
        <f t="shared" si="11"/>
        <v>18.733948966666667</v>
      </c>
      <c r="J31" s="27">
        <f>SUM(E31:I31)</f>
        <v>58.867616569999988</v>
      </c>
    </row>
    <row r="33" spans="2:22">
      <c r="B33" s="2" t="s">
        <v>143</v>
      </c>
      <c r="C33" s="27"/>
      <c r="E33" s="27">
        <f>Assumptions!$E$35*'Capex, Debt'!E37</f>
        <v>28.75</v>
      </c>
      <c r="F33" s="27">
        <f>Assumptions!$E$35*'Capex, Debt'!F37</f>
        <v>40.25</v>
      </c>
      <c r="G33" s="27">
        <f>Assumptions!$E$35*'Capex, Debt'!G37</f>
        <v>11.5</v>
      </c>
      <c r="H33" s="27">
        <f>Assumptions!$E$35*'Capex, Debt'!H37</f>
        <v>19.55</v>
      </c>
      <c r="I33" s="27">
        <f>Assumptions!$E$35*'Capex, Debt'!I37</f>
        <v>14.950000000000001</v>
      </c>
      <c r="J33" s="27">
        <f t="shared" ref="J33:J34" si="12">SUM(E33:I33)</f>
        <v>115</v>
      </c>
    </row>
    <row r="34" spans="2:22">
      <c r="B34" s="44" t="s">
        <v>334</v>
      </c>
      <c r="C34" s="144"/>
      <c r="D34" s="44"/>
      <c r="E34" s="144">
        <f>E31+E30</f>
        <v>5.8697916666666643</v>
      </c>
      <c r="F34" s="144">
        <f t="shared" ref="F34:I34" si="13">F31+F30</f>
        <v>12.957291666666663</v>
      </c>
      <c r="G34" s="144">
        <f t="shared" si="13"/>
        <v>4.622916666666665</v>
      </c>
      <c r="H34" s="144">
        <f t="shared" si="13"/>
        <v>21.002291666666661</v>
      </c>
      <c r="I34" s="144">
        <f t="shared" si="13"/>
        <v>18.733948966666667</v>
      </c>
      <c r="J34" s="27">
        <f t="shared" si="12"/>
        <v>63.18624063333332</v>
      </c>
    </row>
    <row r="35" spans="2:22">
      <c r="B35" s="138" t="s">
        <v>76</v>
      </c>
      <c r="C35" s="139">
        <f>C33+C34-C26</f>
        <v>-178.18624063333334</v>
      </c>
      <c r="D35" s="139"/>
      <c r="E35" s="139">
        <f t="shared" ref="E35:I35" si="14">E33+E34-E26</f>
        <v>0</v>
      </c>
      <c r="F35" s="139">
        <f t="shared" si="14"/>
        <v>0</v>
      </c>
      <c r="G35" s="139">
        <f t="shared" si="14"/>
        <v>0</v>
      </c>
      <c r="H35" s="139">
        <f t="shared" si="14"/>
        <v>0</v>
      </c>
      <c r="I35" s="139">
        <f t="shared" si="14"/>
        <v>0</v>
      </c>
    </row>
    <row r="36" spans="2:22">
      <c r="B36" s="138"/>
      <c r="C36" s="139"/>
      <c r="D36" s="139"/>
      <c r="E36" s="139"/>
      <c r="F36" s="139"/>
      <c r="G36" s="139"/>
      <c r="H36" s="139"/>
      <c r="I36" s="139"/>
    </row>
    <row r="37" spans="2:22">
      <c r="B37" s="121" t="s">
        <v>321</v>
      </c>
      <c r="C37" s="145">
        <f>SUM(E37:I37)</f>
        <v>1</v>
      </c>
      <c r="D37" s="81"/>
      <c r="E37" s="146">
        <v>0.25</v>
      </c>
      <c r="F37" s="146">
        <v>0.35</v>
      </c>
      <c r="G37" s="146">
        <v>0.1</v>
      </c>
      <c r="H37" s="146">
        <v>0.17</v>
      </c>
      <c r="I37" s="146">
        <f>1-SUM(E37:H37)</f>
        <v>0.13</v>
      </c>
      <c r="J37" s="81"/>
    </row>
    <row r="41" spans="2:22">
      <c r="B41" s="2" t="s">
        <v>335</v>
      </c>
    </row>
    <row r="42" spans="2:22">
      <c r="B42" s="37" t="s">
        <v>270</v>
      </c>
      <c r="C42" s="62" t="s">
        <v>278</v>
      </c>
      <c r="D42" s="62" t="s">
        <v>279</v>
      </c>
      <c r="E42" s="62" t="s">
        <v>280</v>
      </c>
      <c r="F42" s="62" t="s">
        <v>281</v>
      </c>
      <c r="G42" s="37" t="s">
        <v>40</v>
      </c>
      <c r="I42" s="37" t="s">
        <v>270</v>
      </c>
      <c r="J42" s="61" t="s">
        <v>322</v>
      </c>
      <c r="K42" s="61" t="s">
        <v>323</v>
      </c>
      <c r="L42" s="61" t="s">
        <v>324</v>
      </c>
      <c r="M42" s="61" t="s">
        <v>325</v>
      </c>
      <c r="N42" s="61" t="s">
        <v>326</v>
      </c>
      <c r="O42" s="61" t="s">
        <v>327</v>
      </c>
      <c r="P42" s="61" t="s">
        <v>328</v>
      </c>
      <c r="Q42" s="61" t="s">
        <v>329</v>
      </c>
      <c r="R42" s="61" t="s">
        <v>330</v>
      </c>
      <c r="S42" s="61" t="s">
        <v>331</v>
      </c>
      <c r="T42" s="61" t="s">
        <v>332</v>
      </c>
      <c r="U42" s="61" t="s">
        <v>333</v>
      </c>
      <c r="V42" s="61" t="s">
        <v>40</v>
      </c>
    </row>
    <row r="43" spans="2:22">
      <c r="B43" s="68">
        <v>2021</v>
      </c>
      <c r="C43" s="155">
        <f>Assumptions!D64</f>
        <v>0</v>
      </c>
      <c r="D43" s="155">
        <f>Assumptions!E64</f>
        <v>0</v>
      </c>
      <c r="E43" s="155">
        <f>Assumptions!F64</f>
        <v>0</v>
      </c>
      <c r="F43" s="155">
        <f>Assumptions!G64</f>
        <v>0</v>
      </c>
      <c r="G43" s="70">
        <f t="shared" ref="G43:G56" si="15">SUM(C43:F43)</f>
        <v>0</v>
      </c>
      <c r="I43" s="71">
        <f t="shared" ref="I43:I56" si="16">B43</f>
        <v>2021</v>
      </c>
      <c r="J43" s="147">
        <f t="shared" ref="J43:J56" si="17">C43/3</f>
        <v>0</v>
      </c>
      <c r="K43" s="147">
        <f t="shared" ref="K43:L56" si="18">J43</f>
        <v>0</v>
      </c>
      <c r="L43" s="147">
        <f t="shared" si="18"/>
        <v>0</v>
      </c>
      <c r="M43" s="147">
        <f t="shared" ref="M43:M56" si="19">D43/3</f>
        <v>0</v>
      </c>
      <c r="N43" s="249">
        <f t="shared" ref="N43:O56" si="20">M43</f>
        <v>0</v>
      </c>
      <c r="O43" s="147">
        <f t="shared" si="20"/>
        <v>0</v>
      </c>
      <c r="P43" s="147">
        <f t="shared" ref="P43:P56" si="21">E43/3</f>
        <v>0</v>
      </c>
      <c r="Q43" s="147">
        <f t="shared" ref="Q43:R56" si="22">P43</f>
        <v>0</v>
      </c>
      <c r="R43" s="147">
        <f t="shared" si="22"/>
        <v>0</v>
      </c>
      <c r="S43" s="147">
        <f t="shared" ref="S43:S56" si="23">F43/3</f>
        <v>0</v>
      </c>
      <c r="T43" s="147">
        <f t="shared" ref="T43:U56" si="24">S43</f>
        <v>0</v>
      </c>
      <c r="U43" s="147">
        <f t="shared" si="24"/>
        <v>0</v>
      </c>
      <c r="V43" s="70">
        <f t="shared" ref="V43:V56" si="25">SUM(J43:U43)</f>
        <v>0</v>
      </c>
    </row>
    <row r="44" spans="2:22">
      <c r="B44" s="71">
        <f t="shared" ref="B44:B56" si="26">B43+1</f>
        <v>2022</v>
      </c>
      <c r="C44" s="155">
        <f>Assumptions!D65</f>
        <v>0</v>
      </c>
      <c r="D44" s="155">
        <f>Assumptions!E65</f>
        <v>3.125E-2</v>
      </c>
      <c r="E44" s="155">
        <f>Assumptions!F65</f>
        <v>3.125E-2</v>
      </c>
      <c r="F44" s="155">
        <f>Assumptions!G65</f>
        <v>3.125E-2</v>
      </c>
      <c r="G44" s="70">
        <f t="shared" si="15"/>
        <v>9.375E-2</v>
      </c>
      <c r="I44" s="71">
        <f t="shared" si="16"/>
        <v>2022</v>
      </c>
      <c r="J44" s="147">
        <f t="shared" si="17"/>
        <v>0</v>
      </c>
      <c r="K44" s="147">
        <f t="shared" si="18"/>
        <v>0</v>
      </c>
      <c r="L44" s="147">
        <f t="shared" si="18"/>
        <v>0</v>
      </c>
      <c r="M44" s="147">
        <f t="shared" si="19"/>
        <v>1.0416666666666666E-2</v>
      </c>
      <c r="N44" s="147">
        <f t="shared" si="20"/>
        <v>1.0416666666666666E-2</v>
      </c>
      <c r="O44" s="147">
        <f t="shared" si="20"/>
        <v>1.0416666666666666E-2</v>
      </c>
      <c r="P44" s="147">
        <f t="shared" si="21"/>
        <v>1.0416666666666666E-2</v>
      </c>
      <c r="Q44" s="147">
        <f t="shared" si="22"/>
        <v>1.0416666666666666E-2</v>
      </c>
      <c r="R44" s="147">
        <f t="shared" si="22"/>
        <v>1.0416666666666666E-2</v>
      </c>
      <c r="S44" s="147">
        <f t="shared" si="23"/>
        <v>1.0416666666666666E-2</v>
      </c>
      <c r="T44" s="147">
        <f t="shared" si="24"/>
        <v>1.0416666666666666E-2</v>
      </c>
      <c r="U44" s="147">
        <f t="shared" si="24"/>
        <v>1.0416666666666666E-2</v>
      </c>
      <c r="V44" s="70">
        <f t="shared" si="25"/>
        <v>9.375E-2</v>
      </c>
    </row>
    <row r="45" spans="2:22">
      <c r="B45" s="71">
        <f t="shared" si="26"/>
        <v>2023</v>
      </c>
      <c r="C45" s="155">
        <f>Assumptions!D66</f>
        <v>3.125E-2</v>
      </c>
      <c r="D45" s="155">
        <f>Assumptions!E66</f>
        <v>3.125E-2</v>
      </c>
      <c r="E45" s="155">
        <f>Assumptions!F66</f>
        <v>3.125E-2</v>
      </c>
      <c r="F45" s="155">
        <f>Assumptions!G66</f>
        <v>3.125E-2</v>
      </c>
      <c r="G45" s="70">
        <f t="shared" si="15"/>
        <v>0.125</v>
      </c>
      <c r="I45" s="71">
        <f t="shared" si="16"/>
        <v>2023</v>
      </c>
      <c r="J45" s="147">
        <f t="shared" si="17"/>
        <v>1.0416666666666666E-2</v>
      </c>
      <c r="K45" s="147">
        <f t="shared" si="18"/>
        <v>1.0416666666666666E-2</v>
      </c>
      <c r="L45" s="147">
        <f t="shared" si="18"/>
        <v>1.0416666666666666E-2</v>
      </c>
      <c r="M45" s="147">
        <f t="shared" si="19"/>
        <v>1.0416666666666666E-2</v>
      </c>
      <c r="N45" s="147">
        <f t="shared" si="20"/>
        <v>1.0416666666666666E-2</v>
      </c>
      <c r="O45" s="147">
        <f t="shared" si="20"/>
        <v>1.0416666666666666E-2</v>
      </c>
      <c r="P45" s="147">
        <f t="shared" si="21"/>
        <v>1.0416666666666666E-2</v>
      </c>
      <c r="Q45" s="147">
        <f t="shared" si="22"/>
        <v>1.0416666666666666E-2</v>
      </c>
      <c r="R45" s="147">
        <f t="shared" si="22"/>
        <v>1.0416666666666666E-2</v>
      </c>
      <c r="S45" s="147">
        <f t="shared" si="23"/>
        <v>1.0416666666666666E-2</v>
      </c>
      <c r="T45" s="147">
        <f t="shared" si="24"/>
        <v>1.0416666666666666E-2</v>
      </c>
      <c r="U45" s="147">
        <f t="shared" si="24"/>
        <v>1.0416666666666666E-2</v>
      </c>
      <c r="V45" s="70">
        <f t="shared" si="25"/>
        <v>0.125</v>
      </c>
    </row>
    <row r="46" spans="2:22">
      <c r="B46" s="71">
        <f t="shared" si="26"/>
        <v>2024</v>
      </c>
      <c r="C46" s="155">
        <f>Assumptions!D67</f>
        <v>3.125E-2</v>
      </c>
      <c r="D46" s="155">
        <f>Assumptions!E67</f>
        <v>3.125E-2</v>
      </c>
      <c r="E46" s="155">
        <f>Assumptions!F67</f>
        <v>3.125E-2</v>
      </c>
      <c r="F46" s="155">
        <f>Assumptions!G67</f>
        <v>3.125E-2</v>
      </c>
      <c r="G46" s="70">
        <f t="shared" si="15"/>
        <v>0.125</v>
      </c>
      <c r="I46" s="71">
        <f t="shared" si="16"/>
        <v>2024</v>
      </c>
      <c r="J46" s="147">
        <f t="shared" si="17"/>
        <v>1.0416666666666666E-2</v>
      </c>
      <c r="K46" s="147">
        <f t="shared" si="18"/>
        <v>1.0416666666666666E-2</v>
      </c>
      <c r="L46" s="147">
        <f t="shared" si="18"/>
        <v>1.0416666666666666E-2</v>
      </c>
      <c r="M46" s="147">
        <f t="shared" si="19"/>
        <v>1.0416666666666666E-2</v>
      </c>
      <c r="N46" s="147">
        <f t="shared" si="20"/>
        <v>1.0416666666666666E-2</v>
      </c>
      <c r="O46" s="147">
        <f t="shared" si="20"/>
        <v>1.0416666666666666E-2</v>
      </c>
      <c r="P46" s="147">
        <f t="shared" si="21"/>
        <v>1.0416666666666666E-2</v>
      </c>
      <c r="Q46" s="147">
        <f t="shared" si="22"/>
        <v>1.0416666666666666E-2</v>
      </c>
      <c r="R46" s="147">
        <f t="shared" si="22"/>
        <v>1.0416666666666666E-2</v>
      </c>
      <c r="S46" s="147">
        <f t="shared" si="23"/>
        <v>1.0416666666666666E-2</v>
      </c>
      <c r="T46" s="147">
        <f t="shared" si="24"/>
        <v>1.0416666666666666E-2</v>
      </c>
      <c r="U46" s="147">
        <f t="shared" si="24"/>
        <v>1.0416666666666666E-2</v>
      </c>
      <c r="V46" s="70">
        <f t="shared" si="25"/>
        <v>0.125</v>
      </c>
    </row>
    <row r="47" spans="2:22">
      <c r="B47" s="71">
        <f t="shared" si="26"/>
        <v>2025</v>
      </c>
      <c r="C47" s="155">
        <f>Assumptions!D68</f>
        <v>3.125E-2</v>
      </c>
      <c r="D47" s="155">
        <f>Assumptions!E68</f>
        <v>3.125E-2</v>
      </c>
      <c r="E47" s="155">
        <f>Assumptions!F68</f>
        <v>3.125E-2</v>
      </c>
      <c r="F47" s="155">
        <f>Assumptions!G68</f>
        <v>3.125E-2</v>
      </c>
      <c r="G47" s="70">
        <f t="shared" si="15"/>
        <v>0.125</v>
      </c>
      <c r="I47" s="71">
        <f t="shared" si="16"/>
        <v>2025</v>
      </c>
      <c r="J47" s="147">
        <f t="shared" si="17"/>
        <v>1.0416666666666666E-2</v>
      </c>
      <c r="K47" s="147">
        <f t="shared" si="18"/>
        <v>1.0416666666666666E-2</v>
      </c>
      <c r="L47" s="147">
        <f t="shared" si="18"/>
        <v>1.0416666666666666E-2</v>
      </c>
      <c r="M47" s="147">
        <f t="shared" si="19"/>
        <v>1.0416666666666666E-2</v>
      </c>
      <c r="N47" s="147">
        <f t="shared" si="20"/>
        <v>1.0416666666666666E-2</v>
      </c>
      <c r="O47" s="147">
        <f t="shared" si="20"/>
        <v>1.0416666666666666E-2</v>
      </c>
      <c r="P47" s="147">
        <f t="shared" si="21"/>
        <v>1.0416666666666666E-2</v>
      </c>
      <c r="Q47" s="147">
        <f t="shared" si="22"/>
        <v>1.0416666666666666E-2</v>
      </c>
      <c r="R47" s="147">
        <f t="shared" si="22"/>
        <v>1.0416666666666666E-2</v>
      </c>
      <c r="S47" s="147">
        <f t="shared" si="23"/>
        <v>1.0416666666666666E-2</v>
      </c>
      <c r="T47" s="147">
        <f t="shared" si="24"/>
        <v>1.0416666666666666E-2</v>
      </c>
      <c r="U47" s="147">
        <f t="shared" si="24"/>
        <v>1.0416666666666666E-2</v>
      </c>
      <c r="V47" s="70">
        <f t="shared" si="25"/>
        <v>0.125</v>
      </c>
    </row>
    <row r="48" spans="2:22">
      <c r="B48" s="71">
        <f t="shared" si="26"/>
        <v>2026</v>
      </c>
      <c r="C48" s="155">
        <f>Assumptions!D69</f>
        <v>3.125E-2</v>
      </c>
      <c r="D48" s="155">
        <f>Assumptions!E69</f>
        <v>3.125E-2</v>
      </c>
      <c r="E48" s="155">
        <f>Assumptions!F69</f>
        <v>3.125E-2</v>
      </c>
      <c r="F48" s="155">
        <f>Assumptions!G69</f>
        <v>3.125E-2</v>
      </c>
      <c r="G48" s="70">
        <f t="shared" si="15"/>
        <v>0.125</v>
      </c>
      <c r="I48" s="71">
        <f t="shared" si="16"/>
        <v>2026</v>
      </c>
      <c r="J48" s="147">
        <f t="shared" si="17"/>
        <v>1.0416666666666666E-2</v>
      </c>
      <c r="K48" s="147">
        <f t="shared" si="18"/>
        <v>1.0416666666666666E-2</v>
      </c>
      <c r="L48" s="147">
        <f t="shared" si="18"/>
        <v>1.0416666666666666E-2</v>
      </c>
      <c r="M48" s="147">
        <f t="shared" si="19"/>
        <v>1.0416666666666666E-2</v>
      </c>
      <c r="N48" s="147">
        <f t="shared" si="20"/>
        <v>1.0416666666666666E-2</v>
      </c>
      <c r="O48" s="147">
        <f t="shared" si="20"/>
        <v>1.0416666666666666E-2</v>
      </c>
      <c r="P48" s="147">
        <f t="shared" si="21"/>
        <v>1.0416666666666666E-2</v>
      </c>
      <c r="Q48" s="147">
        <f t="shared" si="22"/>
        <v>1.0416666666666666E-2</v>
      </c>
      <c r="R48" s="147">
        <f t="shared" si="22"/>
        <v>1.0416666666666666E-2</v>
      </c>
      <c r="S48" s="147">
        <f t="shared" si="23"/>
        <v>1.0416666666666666E-2</v>
      </c>
      <c r="T48" s="147">
        <f t="shared" si="24"/>
        <v>1.0416666666666666E-2</v>
      </c>
      <c r="U48" s="147">
        <f t="shared" si="24"/>
        <v>1.0416666666666666E-2</v>
      </c>
      <c r="V48" s="70">
        <f t="shared" si="25"/>
        <v>0.125</v>
      </c>
    </row>
    <row r="49" spans="2:156">
      <c r="B49" s="71">
        <f t="shared" si="26"/>
        <v>2027</v>
      </c>
      <c r="C49" s="155">
        <f>Assumptions!D70</f>
        <v>3.125E-2</v>
      </c>
      <c r="D49" s="155">
        <f>Assumptions!E70</f>
        <v>3.125E-2</v>
      </c>
      <c r="E49" s="155">
        <f>Assumptions!F70</f>
        <v>3.125E-2</v>
      </c>
      <c r="F49" s="155">
        <f>Assumptions!G70</f>
        <v>3.125E-2</v>
      </c>
      <c r="G49" s="70">
        <f t="shared" si="15"/>
        <v>0.125</v>
      </c>
      <c r="I49" s="71">
        <f t="shared" si="16"/>
        <v>2027</v>
      </c>
      <c r="J49" s="147">
        <f t="shared" si="17"/>
        <v>1.0416666666666666E-2</v>
      </c>
      <c r="K49" s="147">
        <f t="shared" si="18"/>
        <v>1.0416666666666666E-2</v>
      </c>
      <c r="L49" s="147">
        <f t="shared" si="18"/>
        <v>1.0416666666666666E-2</v>
      </c>
      <c r="M49" s="147">
        <f t="shared" si="19"/>
        <v>1.0416666666666666E-2</v>
      </c>
      <c r="N49" s="147">
        <f t="shared" si="20"/>
        <v>1.0416666666666666E-2</v>
      </c>
      <c r="O49" s="147">
        <f t="shared" si="20"/>
        <v>1.0416666666666666E-2</v>
      </c>
      <c r="P49" s="147">
        <f t="shared" si="21"/>
        <v>1.0416666666666666E-2</v>
      </c>
      <c r="Q49" s="147">
        <f t="shared" si="22"/>
        <v>1.0416666666666666E-2</v>
      </c>
      <c r="R49" s="147">
        <f t="shared" si="22"/>
        <v>1.0416666666666666E-2</v>
      </c>
      <c r="S49" s="147">
        <f t="shared" si="23"/>
        <v>1.0416666666666666E-2</v>
      </c>
      <c r="T49" s="147">
        <f t="shared" si="24"/>
        <v>1.0416666666666666E-2</v>
      </c>
      <c r="U49" s="147">
        <f t="shared" si="24"/>
        <v>1.0416666666666666E-2</v>
      </c>
      <c r="V49" s="70">
        <f t="shared" si="25"/>
        <v>0.125</v>
      </c>
    </row>
    <row r="50" spans="2:156">
      <c r="B50" s="71">
        <f t="shared" si="26"/>
        <v>2028</v>
      </c>
      <c r="C50" s="155">
        <f>Assumptions!D71</f>
        <v>3.125E-2</v>
      </c>
      <c r="D50" s="155">
        <f>Assumptions!E71</f>
        <v>3.125E-2</v>
      </c>
      <c r="E50" s="155">
        <f>Assumptions!F71</f>
        <v>3.125E-2</v>
      </c>
      <c r="F50" s="155">
        <f>Assumptions!G71</f>
        <v>3.125E-2</v>
      </c>
      <c r="G50" s="70">
        <f t="shared" si="15"/>
        <v>0.125</v>
      </c>
      <c r="I50" s="71">
        <f t="shared" si="16"/>
        <v>2028</v>
      </c>
      <c r="J50" s="147">
        <f t="shared" si="17"/>
        <v>1.0416666666666666E-2</v>
      </c>
      <c r="K50" s="147">
        <f t="shared" si="18"/>
        <v>1.0416666666666666E-2</v>
      </c>
      <c r="L50" s="147">
        <f t="shared" si="18"/>
        <v>1.0416666666666666E-2</v>
      </c>
      <c r="M50" s="147">
        <f t="shared" si="19"/>
        <v>1.0416666666666666E-2</v>
      </c>
      <c r="N50" s="147">
        <f t="shared" si="20"/>
        <v>1.0416666666666666E-2</v>
      </c>
      <c r="O50" s="147">
        <f t="shared" si="20"/>
        <v>1.0416666666666666E-2</v>
      </c>
      <c r="P50" s="147">
        <f t="shared" si="21"/>
        <v>1.0416666666666666E-2</v>
      </c>
      <c r="Q50" s="147">
        <f t="shared" si="22"/>
        <v>1.0416666666666666E-2</v>
      </c>
      <c r="R50" s="147">
        <f t="shared" si="22"/>
        <v>1.0416666666666666E-2</v>
      </c>
      <c r="S50" s="147">
        <f t="shared" si="23"/>
        <v>1.0416666666666666E-2</v>
      </c>
      <c r="T50" s="147">
        <f t="shared" si="24"/>
        <v>1.0416666666666666E-2</v>
      </c>
      <c r="U50" s="147">
        <f t="shared" si="24"/>
        <v>1.0416666666666666E-2</v>
      </c>
      <c r="V50" s="70">
        <f t="shared" si="25"/>
        <v>0.125</v>
      </c>
    </row>
    <row r="51" spans="2:156">
      <c r="B51" s="71">
        <f t="shared" si="26"/>
        <v>2029</v>
      </c>
      <c r="C51" s="155">
        <f>Assumptions!D72</f>
        <v>3.125E-2</v>
      </c>
      <c r="D51" s="155">
        <f>Assumptions!E72</f>
        <v>3.125E-2</v>
      </c>
      <c r="E51" s="155">
        <f>Assumptions!F72</f>
        <v>3.125E-2</v>
      </c>
      <c r="F51" s="155">
        <f>Assumptions!G72</f>
        <v>3.125E-2</v>
      </c>
      <c r="G51" s="70">
        <f t="shared" si="15"/>
        <v>0.125</v>
      </c>
      <c r="I51" s="71">
        <f t="shared" si="16"/>
        <v>2029</v>
      </c>
      <c r="J51" s="147">
        <f t="shared" si="17"/>
        <v>1.0416666666666666E-2</v>
      </c>
      <c r="K51" s="147">
        <f t="shared" si="18"/>
        <v>1.0416666666666666E-2</v>
      </c>
      <c r="L51" s="147">
        <f t="shared" si="18"/>
        <v>1.0416666666666666E-2</v>
      </c>
      <c r="M51" s="147">
        <f t="shared" si="19"/>
        <v>1.0416666666666666E-2</v>
      </c>
      <c r="N51" s="147">
        <f t="shared" si="20"/>
        <v>1.0416666666666666E-2</v>
      </c>
      <c r="O51" s="147">
        <f t="shared" si="20"/>
        <v>1.0416666666666666E-2</v>
      </c>
      <c r="P51" s="147">
        <f t="shared" si="21"/>
        <v>1.0416666666666666E-2</v>
      </c>
      <c r="Q51" s="147">
        <f t="shared" si="22"/>
        <v>1.0416666666666666E-2</v>
      </c>
      <c r="R51" s="147">
        <f t="shared" si="22"/>
        <v>1.0416666666666666E-2</v>
      </c>
      <c r="S51" s="147">
        <f t="shared" si="23"/>
        <v>1.0416666666666666E-2</v>
      </c>
      <c r="T51" s="147">
        <f t="shared" si="24"/>
        <v>1.0416666666666666E-2</v>
      </c>
      <c r="U51" s="147">
        <f t="shared" si="24"/>
        <v>1.0416666666666666E-2</v>
      </c>
      <c r="V51" s="70">
        <f t="shared" si="25"/>
        <v>0.125</v>
      </c>
    </row>
    <row r="52" spans="2:156">
      <c r="B52" s="71">
        <f t="shared" si="26"/>
        <v>2030</v>
      </c>
      <c r="C52" s="155">
        <f>Assumptions!D73</f>
        <v>3.125E-2</v>
      </c>
      <c r="D52" s="155">
        <f>Assumptions!E73</f>
        <v>0</v>
      </c>
      <c r="E52" s="155">
        <f>Assumptions!F73</f>
        <v>0</v>
      </c>
      <c r="F52" s="155">
        <f>Assumptions!G73</f>
        <v>0</v>
      </c>
      <c r="G52" s="70">
        <f t="shared" si="15"/>
        <v>3.125E-2</v>
      </c>
      <c r="I52" s="71">
        <f t="shared" si="16"/>
        <v>2030</v>
      </c>
      <c r="J52" s="147">
        <f t="shared" si="17"/>
        <v>1.0416666666666666E-2</v>
      </c>
      <c r="K52" s="147">
        <f t="shared" si="18"/>
        <v>1.0416666666666666E-2</v>
      </c>
      <c r="L52" s="147">
        <f t="shared" si="18"/>
        <v>1.0416666666666666E-2</v>
      </c>
      <c r="M52" s="147">
        <f t="shared" si="19"/>
        <v>0</v>
      </c>
      <c r="N52" s="147">
        <f t="shared" si="20"/>
        <v>0</v>
      </c>
      <c r="O52" s="147">
        <f t="shared" si="20"/>
        <v>0</v>
      </c>
      <c r="P52" s="147">
        <f t="shared" si="21"/>
        <v>0</v>
      </c>
      <c r="Q52" s="147">
        <f t="shared" si="22"/>
        <v>0</v>
      </c>
      <c r="R52" s="147">
        <f t="shared" si="22"/>
        <v>0</v>
      </c>
      <c r="S52" s="147">
        <f t="shared" si="23"/>
        <v>0</v>
      </c>
      <c r="T52" s="147">
        <f t="shared" si="24"/>
        <v>0</v>
      </c>
      <c r="U52" s="147">
        <f t="shared" si="24"/>
        <v>0</v>
      </c>
      <c r="V52" s="70">
        <f t="shared" si="25"/>
        <v>3.125E-2</v>
      </c>
    </row>
    <row r="53" spans="2:156">
      <c r="B53" s="71">
        <f t="shared" si="26"/>
        <v>2031</v>
      </c>
      <c r="C53" s="155">
        <f>Assumptions!D74</f>
        <v>0</v>
      </c>
      <c r="D53" s="155">
        <f>Assumptions!E74</f>
        <v>0</v>
      </c>
      <c r="E53" s="155">
        <f>Assumptions!F74</f>
        <v>0</v>
      </c>
      <c r="F53" s="155">
        <f>Assumptions!G74</f>
        <v>0</v>
      </c>
      <c r="G53" s="70">
        <f t="shared" si="15"/>
        <v>0</v>
      </c>
      <c r="I53" s="71">
        <f t="shared" si="16"/>
        <v>2031</v>
      </c>
      <c r="J53" s="147">
        <f t="shared" si="17"/>
        <v>0</v>
      </c>
      <c r="K53" s="147">
        <f t="shared" si="18"/>
        <v>0</v>
      </c>
      <c r="L53" s="147">
        <f t="shared" si="18"/>
        <v>0</v>
      </c>
      <c r="M53" s="147">
        <f t="shared" si="19"/>
        <v>0</v>
      </c>
      <c r="N53" s="147">
        <f t="shared" si="20"/>
        <v>0</v>
      </c>
      <c r="O53" s="147">
        <f t="shared" si="20"/>
        <v>0</v>
      </c>
      <c r="P53" s="147">
        <f t="shared" si="21"/>
        <v>0</v>
      </c>
      <c r="Q53" s="147">
        <f t="shared" si="22"/>
        <v>0</v>
      </c>
      <c r="R53" s="147">
        <f t="shared" si="22"/>
        <v>0</v>
      </c>
      <c r="S53" s="147">
        <f t="shared" si="23"/>
        <v>0</v>
      </c>
      <c r="T53" s="147">
        <f t="shared" si="24"/>
        <v>0</v>
      </c>
      <c r="U53" s="147">
        <f t="shared" si="24"/>
        <v>0</v>
      </c>
      <c r="V53" s="70">
        <f t="shared" si="25"/>
        <v>0</v>
      </c>
    </row>
    <row r="54" spans="2:156">
      <c r="B54" s="71">
        <f t="shared" si="26"/>
        <v>2032</v>
      </c>
      <c r="C54" s="155">
        <f>Assumptions!D75</f>
        <v>0</v>
      </c>
      <c r="D54" s="155">
        <f>Assumptions!E75</f>
        <v>0</v>
      </c>
      <c r="E54" s="155">
        <f>Assumptions!F75</f>
        <v>0</v>
      </c>
      <c r="F54" s="155">
        <f>Assumptions!G75</f>
        <v>0</v>
      </c>
      <c r="G54" s="70">
        <f t="shared" si="15"/>
        <v>0</v>
      </c>
      <c r="I54" s="71">
        <f t="shared" si="16"/>
        <v>2032</v>
      </c>
      <c r="J54" s="147">
        <f t="shared" si="17"/>
        <v>0</v>
      </c>
      <c r="K54" s="147">
        <f t="shared" si="18"/>
        <v>0</v>
      </c>
      <c r="L54" s="147">
        <f t="shared" si="18"/>
        <v>0</v>
      </c>
      <c r="M54" s="147">
        <f t="shared" si="19"/>
        <v>0</v>
      </c>
      <c r="N54" s="147">
        <f t="shared" si="20"/>
        <v>0</v>
      </c>
      <c r="O54" s="147">
        <f t="shared" si="20"/>
        <v>0</v>
      </c>
      <c r="P54" s="147">
        <f t="shared" si="21"/>
        <v>0</v>
      </c>
      <c r="Q54" s="147">
        <f t="shared" si="22"/>
        <v>0</v>
      </c>
      <c r="R54" s="147">
        <f t="shared" si="22"/>
        <v>0</v>
      </c>
      <c r="S54" s="147">
        <f t="shared" si="23"/>
        <v>0</v>
      </c>
      <c r="T54" s="147">
        <f t="shared" si="24"/>
        <v>0</v>
      </c>
      <c r="U54" s="147">
        <f t="shared" si="24"/>
        <v>0</v>
      </c>
      <c r="V54" s="70">
        <f t="shared" si="25"/>
        <v>0</v>
      </c>
    </row>
    <row r="55" spans="2:156">
      <c r="B55" s="71">
        <f t="shared" si="26"/>
        <v>2033</v>
      </c>
      <c r="C55" s="155">
        <f>Assumptions!D76</f>
        <v>0</v>
      </c>
      <c r="D55" s="155">
        <f>Assumptions!E76</f>
        <v>0</v>
      </c>
      <c r="E55" s="155">
        <f>Assumptions!F76</f>
        <v>0</v>
      </c>
      <c r="F55" s="155">
        <f>Assumptions!G76</f>
        <v>0</v>
      </c>
      <c r="G55" s="70">
        <f t="shared" si="15"/>
        <v>0</v>
      </c>
      <c r="I55" s="71">
        <f t="shared" si="16"/>
        <v>2033</v>
      </c>
      <c r="J55" s="147">
        <f t="shared" si="17"/>
        <v>0</v>
      </c>
      <c r="K55" s="147">
        <f t="shared" si="18"/>
        <v>0</v>
      </c>
      <c r="L55" s="147">
        <f t="shared" si="18"/>
        <v>0</v>
      </c>
      <c r="M55" s="147">
        <f t="shared" si="19"/>
        <v>0</v>
      </c>
      <c r="N55" s="147">
        <f t="shared" si="20"/>
        <v>0</v>
      </c>
      <c r="O55" s="147">
        <f t="shared" si="20"/>
        <v>0</v>
      </c>
      <c r="P55" s="147">
        <f t="shared" si="21"/>
        <v>0</v>
      </c>
      <c r="Q55" s="147">
        <f t="shared" si="22"/>
        <v>0</v>
      </c>
      <c r="R55" s="147">
        <f t="shared" si="22"/>
        <v>0</v>
      </c>
      <c r="S55" s="147">
        <f t="shared" si="23"/>
        <v>0</v>
      </c>
      <c r="T55" s="147">
        <f t="shared" si="24"/>
        <v>0</v>
      </c>
      <c r="U55" s="147">
        <f t="shared" si="24"/>
        <v>0</v>
      </c>
      <c r="V55" s="70">
        <f t="shared" si="25"/>
        <v>0</v>
      </c>
    </row>
    <row r="56" spans="2:156">
      <c r="B56" s="77">
        <f t="shared" si="26"/>
        <v>2034</v>
      </c>
      <c r="C56" s="155">
        <f>Assumptions!D77</f>
        <v>0</v>
      </c>
      <c r="D56" s="155">
        <f>Assumptions!E77</f>
        <v>0</v>
      </c>
      <c r="E56" s="155">
        <f>Assumptions!F77</f>
        <v>0</v>
      </c>
      <c r="F56" s="155">
        <f>Assumptions!G77</f>
        <v>0</v>
      </c>
      <c r="G56" s="80">
        <f t="shared" si="15"/>
        <v>0</v>
      </c>
      <c r="I56" s="71">
        <f t="shared" si="16"/>
        <v>2034</v>
      </c>
      <c r="J56" s="147">
        <f t="shared" si="17"/>
        <v>0</v>
      </c>
      <c r="K56" s="147">
        <f t="shared" si="18"/>
        <v>0</v>
      </c>
      <c r="L56" s="147">
        <f t="shared" si="18"/>
        <v>0</v>
      </c>
      <c r="M56" s="147">
        <f t="shared" si="19"/>
        <v>0</v>
      </c>
      <c r="N56" s="147">
        <f t="shared" si="20"/>
        <v>0</v>
      </c>
      <c r="O56" s="147">
        <f t="shared" si="20"/>
        <v>0</v>
      </c>
      <c r="P56" s="147">
        <f t="shared" si="21"/>
        <v>0</v>
      </c>
      <c r="Q56" s="147">
        <f t="shared" si="22"/>
        <v>0</v>
      </c>
      <c r="R56" s="147">
        <f t="shared" si="22"/>
        <v>0</v>
      </c>
      <c r="S56" s="147">
        <f t="shared" si="23"/>
        <v>0</v>
      </c>
      <c r="T56" s="147">
        <f t="shared" si="24"/>
        <v>0</v>
      </c>
      <c r="U56" s="147">
        <f t="shared" si="24"/>
        <v>0</v>
      </c>
      <c r="V56" s="70">
        <f t="shared" si="25"/>
        <v>0</v>
      </c>
    </row>
    <row r="57" spans="2:156">
      <c r="B57" s="81"/>
      <c r="C57" s="81"/>
      <c r="D57" s="81"/>
      <c r="E57" s="81"/>
      <c r="F57" s="81"/>
      <c r="G57" s="82">
        <f>SUM(G43:G56)</f>
        <v>1</v>
      </c>
      <c r="I57" s="148"/>
      <c r="J57" s="149"/>
      <c r="K57" s="149"/>
      <c r="L57" s="149"/>
      <c r="M57" s="149"/>
      <c r="N57" s="149"/>
      <c r="O57" s="149"/>
      <c r="P57" s="149"/>
      <c r="Q57" s="149"/>
      <c r="R57" s="149"/>
      <c r="S57" s="149"/>
      <c r="T57" s="149"/>
      <c r="U57" s="149"/>
      <c r="V57" s="150">
        <f>SUM(V43:V56)</f>
        <v>1</v>
      </c>
    </row>
    <row r="61" spans="2:156">
      <c r="B61" s="37" t="s">
        <v>144</v>
      </c>
      <c r="C61" s="37"/>
      <c r="D61" s="37"/>
      <c r="E61" s="151">
        <f>DATE(IF(MONTH(E62)&gt;3,YEAR(E62)+1,YEAR(E62)),3,31)</f>
        <v>44286</v>
      </c>
      <c r="F61" s="151">
        <f>DATE(IF(MONTH(F62)&gt;3,YEAR(F62)+1,YEAR(F62)),3,31)</f>
        <v>44286</v>
      </c>
      <c r="G61" s="151">
        <f t="shared" ref="G61:Y61" si="27">DATE(IF(MONTH(G62)&gt;3,YEAR(G62)+1,YEAR(G62)),3,31)</f>
        <v>44286</v>
      </c>
      <c r="H61" s="151">
        <f t="shared" si="27"/>
        <v>44286</v>
      </c>
      <c r="I61" s="151">
        <f t="shared" si="27"/>
        <v>44286</v>
      </c>
      <c r="J61" s="151">
        <f t="shared" si="27"/>
        <v>44286</v>
      </c>
      <c r="K61" s="151">
        <f t="shared" si="27"/>
        <v>44286</v>
      </c>
      <c r="L61" s="151">
        <f t="shared" si="27"/>
        <v>44286</v>
      </c>
      <c r="M61" s="151">
        <f t="shared" si="27"/>
        <v>44651</v>
      </c>
      <c r="N61" s="151">
        <f t="shared" si="27"/>
        <v>44651</v>
      </c>
      <c r="O61" s="151">
        <f t="shared" si="27"/>
        <v>44651</v>
      </c>
      <c r="P61" s="151">
        <f t="shared" si="27"/>
        <v>44651</v>
      </c>
      <c r="Q61" s="151">
        <f t="shared" si="27"/>
        <v>44651</v>
      </c>
      <c r="R61" s="151">
        <f t="shared" si="27"/>
        <v>44651</v>
      </c>
      <c r="S61" s="151">
        <f t="shared" si="27"/>
        <v>44651</v>
      </c>
      <c r="T61" s="151">
        <f t="shared" si="27"/>
        <v>44651</v>
      </c>
      <c r="U61" s="151">
        <f t="shared" si="27"/>
        <v>44651</v>
      </c>
      <c r="V61" s="151">
        <f t="shared" si="27"/>
        <v>44651</v>
      </c>
      <c r="W61" s="151">
        <f t="shared" si="27"/>
        <v>44651</v>
      </c>
      <c r="X61" s="151">
        <f t="shared" si="27"/>
        <v>44651</v>
      </c>
      <c r="Y61" s="151">
        <f t="shared" si="27"/>
        <v>45016</v>
      </c>
      <c r="Z61" s="151">
        <f t="shared" ref="Z61" si="28">DATE(IF(MONTH(Z62)&gt;3,YEAR(Z62)+1,YEAR(Z62)),3,31)</f>
        <v>45016</v>
      </c>
      <c r="AA61" s="151">
        <f t="shared" ref="AA61" si="29">DATE(IF(MONTH(AA62)&gt;3,YEAR(AA62)+1,YEAR(AA62)),3,31)</f>
        <v>45016</v>
      </c>
      <c r="AB61" s="151">
        <f t="shared" ref="AB61" si="30">DATE(IF(MONTH(AB62)&gt;3,YEAR(AB62)+1,YEAR(AB62)),3,31)</f>
        <v>45016</v>
      </c>
      <c r="AC61" s="151">
        <f t="shared" ref="AC61" si="31">DATE(IF(MONTH(AC62)&gt;3,YEAR(AC62)+1,YEAR(AC62)),3,31)</f>
        <v>45016</v>
      </c>
      <c r="AD61" s="151">
        <f t="shared" ref="AD61" si="32">DATE(IF(MONTH(AD62)&gt;3,YEAR(AD62)+1,YEAR(AD62)),3,31)</f>
        <v>45016</v>
      </c>
      <c r="AE61" s="151">
        <f t="shared" ref="AE61" si="33">DATE(IF(MONTH(AE62)&gt;3,YEAR(AE62)+1,YEAR(AE62)),3,31)</f>
        <v>45016</v>
      </c>
      <c r="AF61" s="151">
        <f t="shared" ref="AF61" si="34">DATE(IF(MONTH(AF62)&gt;3,YEAR(AF62)+1,YEAR(AF62)),3,31)</f>
        <v>45016</v>
      </c>
      <c r="AG61" s="151">
        <f t="shared" ref="AG61" si="35">DATE(IF(MONTH(AG62)&gt;3,YEAR(AG62)+1,YEAR(AG62)),3,31)</f>
        <v>45016</v>
      </c>
      <c r="AH61" s="151">
        <f t="shared" ref="AH61:CS61" si="36">DATE(IF(MONTH(AH62)&gt;3,YEAR(AH62)+1,YEAR(AH62)),3,31)</f>
        <v>45016</v>
      </c>
      <c r="AI61" s="151">
        <f t="shared" si="36"/>
        <v>45016</v>
      </c>
      <c r="AJ61" s="151">
        <f t="shared" si="36"/>
        <v>45016</v>
      </c>
      <c r="AK61" s="151">
        <f t="shared" si="36"/>
        <v>45382</v>
      </c>
      <c r="AL61" s="151">
        <f t="shared" si="36"/>
        <v>45382</v>
      </c>
      <c r="AM61" s="151">
        <f t="shared" si="36"/>
        <v>45382</v>
      </c>
      <c r="AN61" s="151">
        <f t="shared" si="36"/>
        <v>45382</v>
      </c>
      <c r="AO61" s="151">
        <f t="shared" si="36"/>
        <v>45382</v>
      </c>
      <c r="AP61" s="151">
        <f t="shared" si="36"/>
        <v>45382</v>
      </c>
      <c r="AQ61" s="151">
        <f t="shared" si="36"/>
        <v>45382</v>
      </c>
      <c r="AR61" s="151">
        <f t="shared" si="36"/>
        <v>45382</v>
      </c>
      <c r="AS61" s="151">
        <f t="shared" si="36"/>
        <v>45382</v>
      </c>
      <c r="AT61" s="151">
        <f t="shared" si="36"/>
        <v>45382</v>
      </c>
      <c r="AU61" s="151">
        <f t="shared" si="36"/>
        <v>45382</v>
      </c>
      <c r="AV61" s="151">
        <f t="shared" si="36"/>
        <v>45382</v>
      </c>
      <c r="AW61" s="151">
        <f t="shared" si="36"/>
        <v>45747</v>
      </c>
      <c r="AX61" s="151">
        <f t="shared" si="36"/>
        <v>45747</v>
      </c>
      <c r="AY61" s="151">
        <f t="shared" si="36"/>
        <v>45747</v>
      </c>
      <c r="AZ61" s="151">
        <f t="shared" si="36"/>
        <v>45747</v>
      </c>
      <c r="BA61" s="151">
        <f t="shared" si="36"/>
        <v>45747</v>
      </c>
      <c r="BB61" s="151">
        <f t="shared" si="36"/>
        <v>45747</v>
      </c>
      <c r="BC61" s="151">
        <f t="shared" si="36"/>
        <v>45747</v>
      </c>
      <c r="BD61" s="151">
        <f t="shared" si="36"/>
        <v>45747</v>
      </c>
      <c r="BE61" s="151">
        <f t="shared" si="36"/>
        <v>45747</v>
      </c>
      <c r="BF61" s="151">
        <f t="shared" si="36"/>
        <v>45747</v>
      </c>
      <c r="BG61" s="151">
        <f t="shared" si="36"/>
        <v>45747</v>
      </c>
      <c r="BH61" s="151">
        <f t="shared" si="36"/>
        <v>45747</v>
      </c>
      <c r="BI61" s="151">
        <f t="shared" si="36"/>
        <v>46112</v>
      </c>
      <c r="BJ61" s="151">
        <f t="shared" si="36"/>
        <v>46112</v>
      </c>
      <c r="BK61" s="151">
        <f t="shared" si="36"/>
        <v>46112</v>
      </c>
      <c r="BL61" s="151">
        <f t="shared" si="36"/>
        <v>46112</v>
      </c>
      <c r="BM61" s="151">
        <f t="shared" si="36"/>
        <v>46112</v>
      </c>
      <c r="BN61" s="151">
        <f t="shared" si="36"/>
        <v>46112</v>
      </c>
      <c r="BO61" s="151">
        <f t="shared" si="36"/>
        <v>46112</v>
      </c>
      <c r="BP61" s="151">
        <f t="shared" si="36"/>
        <v>46112</v>
      </c>
      <c r="BQ61" s="151">
        <f t="shared" si="36"/>
        <v>46112</v>
      </c>
      <c r="BR61" s="151">
        <f t="shared" si="36"/>
        <v>46112</v>
      </c>
      <c r="BS61" s="151">
        <f t="shared" si="36"/>
        <v>46112</v>
      </c>
      <c r="BT61" s="151">
        <f t="shared" si="36"/>
        <v>46112</v>
      </c>
      <c r="BU61" s="151">
        <f t="shared" si="36"/>
        <v>46477</v>
      </c>
      <c r="BV61" s="151">
        <f t="shared" si="36"/>
        <v>46477</v>
      </c>
      <c r="BW61" s="151">
        <f t="shared" si="36"/>
        <v>46477</v>
      </c>
      <c r="BX61" s="151">
        <f t="shared" si="36"/>
        <v>46477</v>
      </c>
      <c r="BY61" s="151">
        <f t="shared" si="36"/>
        <v>46477</v>
      </c>
      <c r="BZ61" s="151">
        <f t="shared" si="36"/>
        <v>46477</v>
      </c>
      <c r="CA61" s="151">
        <f t="shared" si="36"/>
        <v>46477</v>
      </c>
      <c r="CB61" s="151">
        <f t="shared" si="36"/>
        <v>46477</v>
      </c>
      <c r="CC61" s="151">
        <f t="shared" si="36"/>
        <v>46477</v>
      </c>
      <c r="CD61" s="151">
        <f t="shared" si="36"/>
        <v>46477</v>
      </c>
      <c r="CE61" s="151">
        <f t="shared" si="36"/>
        <v>46477</v>
      </c>
      <c r="CF61" s="151">
        <f t="shared" si="36"/>
        <v>46477</v>
      </c>
      <c r="CG61" s="151">
        <f t="shared" si="36"/>
        <v>46843</v>
      </c>
      <c r="CH61" s="151">
        <f t="shared" si="36"/>
        <v>46843</v>
      </c>
      <c r="CI61" s="151">
        <f t="shared" si="36"/>
        <v>46843</v>
      </c>
      <c r="CJ61" s="151">
        <f t="shared" si="36"/>
        <v>46843</v>
      </c>
      <c r="CK61" s="151">
        <f t="shared" si="36"/>
        <v>46843</v>
      </c>
      <c r="CL61" s="151">
        <f t="shared" si="36"/>
        <v>46843</v>
      </c>
      <c r="CM61" s="151">
        <f t="shared" si="36"/>
        <v>46843</v>
      </c>
      <c r="CN61" s="151">
        <f t="shared" si="36"/>
        <v>46843</v>
      </c>
      <c r="CO61" s="151">
        <f t="shared" si="36"/>
        <v>46843</v>
      </c>
      <c r="CP61" s="151">
        <f t="shared" si="36"/>
        <v>46843</v>
      </c>
      <c r="CQ61" s="151">
        <f t="shared" si="36"/>
        <v>46843</v>
      </c>
      <c r="CR61" s="151">
        <f t="shared" si="36"/>
        <v>46843</v>
      </c>
      <c r="CS61" s="151">
        <f t="shared" si="36"/>
        <v>47208</v>
      </c>
      <c r="CT61" s="151">
        <f t="shared" ref="CT61:EZ61" si="37">DATE(IF(MONTH(CT62)&gt;3,YEAR(CT62)+1,YEAR(CT62)),3,31)</f>
        <v>47208</v>
      </c>
      <c r="CU61" s="151">
        <f t="shared" si="37"/>
        <v>47208</v>
      </c>
      <c r="CV61" s="151">
        <f t="shared" si="37"/>
        <v>47208</v>
      </c>
      <c r="CW61" s="151">
        <f t="shared" si="37"/>
        <v>47208</v>
      </c>
      <c r="CX61" s="151">
        <f t="shared" si="37"/>
        <v>47208</v>
      </c>
      <c r="CY61" s="151">
        <f t="shared" si="37"/>
        <v>47208</v>
      </c>
      <c r="CZ61" s="151">
        <f t="shared" si="37"/>
        <v>47208</v>
      </c>
      <c r="DA61" s="151">
        <f t="shared" si="37"/>
        <v>47208</v>
      </c>
      <c r="DB61" s="151">
        <f t="shared" si="37"/>
        <v>47208</v>
      </c>
      <c r="DC61" s="151">
        <f t="shared" si="37"/>
        <v>47208</v>
      </c>
      <c r="DD61" s="151">
        <f t="shared" si="37"/>
        <v>47208</v>
      </c>
      <c r="DE61" s="151">
        <f t="shared" si="37"/>
        <v>47573</v>
      </c>
      <c r="DF61" s="151">
        <f t="shared" si="37"/>
        <v>47573</v>
      </c>
      <c r="DG61" s="151">
        <f t="shared" si="37"/>
        <v>47573</v>
      </c>
      <c r="DH61" s="151">
        <f t="shared" si="37"/>
        <v>47573</v>
      </c>
      <c r="DI61" s="151">
        <f t="shared" si="37"/>
        <v>47573</v>
      </c>
      <c r="DJ61" s="151">
        <f t="shared" si="37"/>
        <v>47573</v>
      </c>
      <c r="DK61" s="151">
        <f t="shared" si="37"/>
        <v>47573</v>
      </c>
      <c r="DL61" s="151">
        <f t="shared" si="37"/>
        <v>47573</v>
      </c>
      <c r="DM61" s="151">
        <f t="shared" si="37"/>
        <v>47573</v>
      </c>
      <c r="DN61" s="151">
        <f t="shared" si="37"/>
        <v>47573</v>
      </c>
      <c r="DO61" s="151">
        <f t="shared" si="37"/>
        <v>47573</v>
      </c>
      <c r="DP61" s="151">
        <f t="shared" si="37"/>
        <v>47573</v>
      </c>
      <c r="DQ61" s="151">
        <f t="shared" si="37"/>
        <v>47938</v>
      </c>
      <c r="DR61" s="151">
        <f t="shared" si="37"/>
        <v>47938</v>
      </c>
      <c r="DS61" s="151">
        <f t="shared" si="37"/>
        <v>47938</v>
      </c>
      <c r="DT61" s="151">
        <f t="shared" si="37"/>
        <v>47938</v>
      </c>
      <c r="DU61" s="151">
        <f t="shared" si="37"/>
        <v>47938</v>
      </c>
      <c r="DV61" s="151">
        <f t="shared" si="37"/>
        <v>47938</v>
      </c>
      <c r="DW61" s="151">
        <f t="shared" si="37"/>
        <v>47938</v>
      </c>
      <c r="DX61" s="151">
        <f t="shared" si="37"/>
        <v>47938</v>
      </c>
      <c r="DY61" s="151">
        <f t="shared" si="37"/>
        <v>47938</v>
      </c>
      <c r="DZ61" s="151">
        <f t="shared" si="37"/>
        <v>47938</v>
      </c>
      <c r="EA61" s="151">
        <f t="shared" si="37"/>
        <v>47938</v>
      </c>
      <c r="EB61" s="151">
        <f t="shared" si="37"/>
        <v>47938</v>
      </c>
      <c r="EC61" s="151">
        <f t="shared" si="37"/>
        <v>48304</v>
      </c>
      <c r="ED61" s="151">
        <f t="shared" si="37"/>
        <v>48304</v>
      </c>
      <c r="EE61" s="151">
        <f t="shared" si="37"/>
        <v>48304</v>
      </c>
      <c r="EF61" s="151">
        <f t="shared" si="37"/>
        <v>48304</v>
      </c>
      <c r="EG61" s="151">
        <f t="shared" si="37"/>
        <v>48304</v>
      </c>
      <c r="EH61" s="151">
        <f t="shared" si="37"/>
        <v>48304</v>
      </c>
      <c r="EI61" s="151">
        <f t="shared" si="37"/>
        <v>48304</v>
      </c>
      <c r="EJ61" s="151">
        <f t="shared" si="37"/>
        <v>48304</v>
      </c>
      <c r="EK61" s="151">
        <f t="shared" si="37"/>
        <v>48304</v>
      </c>
      <c r="EL61" s="151">
        <f t="shared" si="37"/>
        <v>48304</v>
      </c>
      <c r="EM61" s="151">
        <f t="shared" si="37"/>
        <v>48304</v>
      </c>
      <c r="EN61" s="151">
        <f t="shared" si="37"/>
        <v>48304</v>
      </c>
      <c r="EO61" s="151">
        <f t="shared" si="37"/>
        <v>48669</v>
      </c>
      <c r="EP61" s="151">
        <f t="shared" si="37"/>
        <v>48669</v>
      </c>
      <c r="EQ61" s="151">
        <f t="shared" si="37"/>
        <v>48669</v>
      </c>
      <c r="ER61" s="151">
        <f t="shared" si="37"/>
        <v>48669</v>
      </c>
      <c r="ES61" s="151">
        <f t="shared" si="37"/>
        <v>48669</v>
      </c>
      <c r="ET61" s="151">
        <f t="shared" si="37"/>
        <v>48669</v>
      </c>
      <c r="EU61" s="151">
        <f t="shared" si="37"/>
        <v>48669</v>
      </c>
      <c r="EV61" s="151">
        <f t="shared" si="37"/>
        <v>48669</v>
      </c>
      <c r="EW61" s="151">
        <f t="shared" si="37"/>
        <v>48669</v>
      </c>
      <c r="EX61" s="151">
        <f t="shared" si="37"/>
        <v>48669</v>
      </c>
      <c r="EY61" s="151">
        <f t="shared" si="37"/>
        <v>48669</v>
      </c>
      <c r="EZ61" s="151">
        <f t="shared" si="37"/>
        <v>48669</v>
      </c>
    </row>
    <row r="62" spans="2:156">
      <c r="B62" s="37"/>
      <c r="C62" s="37"/>
      <c r="D62" s="37"/>
      <c r="E62" s="151">
        <f>E24</f>
        <v>44074</v>
      </c>
      <c r="F62" s="151">
        <f>EOMONTH(E62,1)</f>
        <v>44104</v>
      </c>
      <c r="G62" s="151">
        <f t="shared" ref="G62:AI62" si="38">EOMONTH(F62,1)</f>
        <v>44135</v>
      </c>
      <c r="H62" s="151">
        <f t="shared" si="38"/>
        <v>44165</v>
      </c>
      <c r="I62" s="151">
        <f t="shared" si="38"/>
        <v>44196</v>
      </c>
      <c r="J62" s="151">
        <f t="shared" si="38"/>
        <v>44227</v>
      </c>
      <c r="K62" s="151">
        <f t="shared" si="38"/>
        <v>44255</v>
      </c>
      <c r="L62" s="151">
        <f t="shared" si="38"/>
        <v>44286</v>
      </c>
      <c r="M62" s="151">
        <f t="shared" si="38"/>
        <v>44316</v>
      </c>
      <c r="N62" s="151">
        <f t="shared" si="38"/>
        <v>44347</v>
      </c>
      <c r="O62" s="151">
        <f t="shared" si="38"/>
        <v>44377</v>
      </c>
      <c r="P62" s="151">
        <f t="shared" si="38"/>
        <v>44408</v>
      </c>
      <c r="Q62" s="151">
        <f t="shared" si="38"/>
        <v>44439</v>
      </c>
      <c r="R62" s="151">
        <f t="shared" si="38"/>
        <v>44469</v>
      </c>
      <c r="S62" s="151">
        <f t="shared" si="38"/>
        <v>44500</v>
      </c>
      <c r="T62" s="151">
        <f t="shared" si="38"/>
        <v>44530</v>
      </c>
      <c r="U62" s="151">
        <f t="shared" si="38"/>
        <v>44561</v>
      </c>
      <c r="V62" s="151">
        <f t="shared" si="38"/>
        <v>44592</v>
      </c>
      <c r="W62" s="151">
        <f t="shared" si="38"/>
        <v>44620</v>
      </c>
      <c r="X62" s="151">
        <f t="shared" si="38"/>
        <v>44651</v>
      </c>
      <c r="Y62" s="151">
        <f t="shared" si="38"/>
        <v>44681</v>
      </c>
      <c r="Z62" s="151">
        <f t="shared" si="38"/>
        <v>44712</v>
      </c>
      <c r="AA62" s="151">
        <f t="shared" si="38"/>
        <v>44742</v>
      </c>
      <c r="AB62" s="151">
        <f t="shared" si="38"/>
        <v>44773</v>
      </c>
      <c r="AC62" s="151">
        <f t="shared" si="38"/>
        <v>44804</v>
      </c>
      <c r="AD62" s="151">
        <f t="shared" si="38"/>
        <v>44834</v>
      </c>
      <c r="AE62" s="151">
        <f t="shared" si="38"/>
        <v>44865</v>
      </c>
      <c r="AF62" s="151">
        <f t="shared" si="38"/>
        <v>44895</v>
      </c>
      <c r="AG62" s="151">
        <f t="shared" si="38"/>
        <v>44926</v>
      </c>
      <c r="AH62" s="151">
        <f t="shared" si="38"/>
        <v>44957</v>
      </c>
      <c r="AI62" s="151">
        <f t="shared" si="38"/>
        <v>44985</v>
      </c>
      <c r="AJ62" s="151">
        <f t="shared" ref="AJ62:CU62" si="39">EOMONTH(AI62,1)</f>
        <v>45016</v>
      </c>
      <c r="AK62" s="151">
        <f t="shared" si="39"/>
        <v>45046</v>
      </c>
      <c r="AL62" s="151">
        <f t="shared" si="39"/>
        <v>45077</v>
      </c>
      <c r="AM62" s="151">
        <f t="shared" si="39"/>
        <v>45107</v>
      </c>
      <c r="AN62" s="151">
        <f t="shared" si="39"/>
        <v>45138</v>
      </c>
      <c r="AO62" s="151">
        <f t="shared" si="39"/>
        <v>45169</v>
      </c>
      <c r="AP62" s="151">
        <f t="shared" si="39"/>
        <v>45199</v>
      </c>
      <c r="AQ62" s="151">
        <f t="shared" si="39"/>
        <v>45230</v>
      </c>
      <c r="AR62" s="151">
        <f t="shared" si="39"/>
        <v>45260</v>
      </c>
      <c r="AS62" s="151">
        <f t="shared" si="39"/>
        <v>45291</v>
      </c>
      <c r="AT62" s="151">
        <f t="shared" si="39"/>
        <v>45322</v>
      </c>
      <c r="AU62" s="151">
        <f t="shared" si="39"/>
        <v>45351</v>
      </c>
      <c r="AV62" s="151">
        <f t="shared" si="39"/>
        <v>45382</v>
      </c>
      <c r="AW62" s="151">
        <f t="shared" si="39"/>
        <v>45412</v>
      </c>
      <c r="AX62" s="151">
        <f t="shared" si="39"/>
        <v>45443</v>
      </c>
      <c r="AY62" s="151">
        <f t="shared" si="39"/>
        <v>45473</v>
      </c>
      <c r="AZ62" s="151">
        <f t="shared" si="39"/>
        <v>45504</v>
      </c>
      <c r="BA62" s="151">
        <f t="shared" si="39"/>
        <v>45535</v>
      </c>
      <c r="BB62" s="151">
        <f t="shared" si="39"/>
        <v>45565</v>
      </c>
      <c r="BC62" s="151">
        <f t="shared" si="39"/>
        <v>45596</v>
      </c>
      <c r="BD62" s="151">
        <f t="shared" si="39"/>
        <v>45626</v>
      </c>
      <c r="BE62" s="151">
        <f t="shared" si="39"/>
        <v>45657</v>
      </c>
      <c r="BF62" s="151">
        <f t="shared" si="39"/>
        <v>45688</v>
      </c>
      <c r="BG62" s="151">
        <f t="shared" si="39"/>
        <v>45716</v>
      </c>
      <c r="BH62" s="151">
        <f t="shared" si="39"/>
        <v>45747</v>
      </c>
      <c r="BI62" s="151">
        <f t="shared" si="39"/>
        <v>45777</v>
      </c>
      <c r="BJ62" s="151">
        <f t="shared" si="39"/>
        <v>45808</v>
      </c>
      <c r="BK62" s="151">
        <f t="shared" si="39"/>
        <v>45838</v>
      </c>
      <c r="BL62" s="151">
        <f t="shared" si="39"/>
        <v>45869</v>
      </c>
      <c r="BM62" s="151">
        <f t="shared" si="39"/>
        <v>45900</v>
      </c>
      <c r="BN62" s="151">
        <f t="shared" si="39"/>
        <v>45930</v>
      </c>
      <c r="BO62" s="151">
        <f t="shared" si="39"/>
        <v>45961</v>
      </c>
      <c r="BP62" s="151">
        <f t="shared" si="39"/>
        <v>45991</v>
      </c>
      <c r="BQ62" s="151">
        <f t="shared" si="39"/>
        <v>46022</v>
      </c>
      <c r="BR62" s="151">
        <f t="shared" si="39"/>
        <v>46053</v>
      </c>
      <c r="BS62" s="151">
        <f t="shared" si="39"/>
        <v>46081</v>
      </c>
      <c r="BT62" s="151">
        <f t="shared" si="39"/>
        <v>46112</v>
      </c>
      <c r="BU62" s="151">
        <f t="shared" si="39"/>
        <v>46142</v>
      </c>
      <c r="BV62" s="151">
        <f t="shared" si="39"/>
        <v>46173</v>
      </c>
      <c r="BW62" s="151">
        <f t="shared" si="39"/>
        <v>46203</v>
      </c>
      <c r="BX62" s="151">
        <f t="shared" si="39"/>
        <v>46234</v>
      </c>
      <c r="BY62" s="151">
        <f t="shared" si="39"/>
        <v>46265</v>
      </c>
      <c r="BZ62" s="151">
        <f t="shared" si="39"/>
        <v>46295</v>
      </c>
      <c r="CA62" s="151">
        <f t="shared" si="39"/>
        <v>46326</v>
      </c>
      <c r="CB62" s="151">
        <f t="shared" si="39"/>
        <v>46356</v>
      </c>
      <c r="CC62" s="151">
        <f t="shared" si="39"/>
        <v>46387</v>
      </c>
      <c r="CD62" s="151">
        <f t="shared" si="39"/>
        <v>46418</v>
      </c>
      <c r="CE62" s="151">
        <f t="shared" si="39"/>
        <v>46446</v>
      </c>
      <c r="CF62" s="151">
        <f t="shared" si="39"/>
        <v>46477</v>
      </c>
      <c r="CG62" s="151">
        <f t="shared" si="39"/>
        <v>46507</v>
      </c>
      <c r="CH62" s="151">
        <f t="shared" si="39"/>
        <v>46538</v>
      </c>
      <c r="CI62" s="151">
        <f t="shared" si="39"/>
        <v>46568</v>
      </c>
      <c r="CJ62" s="151">
        <f t="shared" si="39"/>
        <v>46599</v>
      </c>
      <c r="CK62" s="151">
        <f t="shared" si="39"/>
        <v>46630</v>
      </c>
      <c r="CL62" s="151">
        <f t="shared" si="39"/>
        <v>46660</v>
      </c>
      <c r="CM62" s="151">
        <f t="shared" si="39"/>
        <v>46691</v>
      </c>
      <c r="CN62" s="151">
        <f t="shared" si="39"/>
        <v>46721</v>
      </c>
      <c r="CO62" s="151">
        <f t="shared" si="39"/>
        <v>46752</v>
      </c>
      <c r="CP62" s="151">
        <f t="shared" si="39"/>
        <v>46783</v>
      </c>
      <c r="CQ62" s="151">
        <f t="shared" si="39"/>
        <v>46812</v>
      </c>
      <c r="CR62" s="151">
        <f t="shared" si="39"/>
        <v>46843</v>
      </c>
      <c r="CS62" s="151">
        <f t="shared" si="39"/>
        <v>46873</v>
      </c>
      <c r="CT62" s="151">
        <f t="shared" si="39"/>
        <v>46904</v>
      </c>
      <c r="CU62" s="151">
        <f t="shared" si="39"/>
        <v>46934</v>
      </c>
      <c r="CV62" s="151">
        <f t="shared" ref="CV62:EY62" si="40">EOMONTH(CU62,1)</f>
        <v>46965</v>
      </c>
      <c r="CW62" s="151">
        <f t="shared" si="40"/>
        <v>46996</v>
      </c>
      <c r="CX62" s="151">
        <f t="shared" si="40"/>
        <v>47026</v>
      </c>
      <c r="CY62" s="151">
        <f t="shared" si="40"/>
        <v>47057</v>
      </c>
      <c r="CZ62" s="151">
        <f t="shared" si="40"/>
        <v>47087</v>
      </c>
      <c r="DA62" s="151">
        <f t="shared" si="40"/>
        <v>47118</v>
      </c>
      <c r="DB62" s="151">
        <f t="shared" si="40"/>
        <v>47149</v>
      </c>
      <c r="DC62" s="151">
        <f t="shared" si="40"/>
        <v>47177</v>
      </c>
      <c r="DD62" s="151">
        <f t="shared" si="40"/>
        <v>47208</v>
      </c>
      <c r="DE62" s="151">
        <f t="shared" si="40"/>
        <v>47238</v>
      </c>
      <c r="DF62" s="151">
        <f t="shared" si="40"/>
        <v>47269</v>
      </c>
      <c r="DG62" s="151">
        <f t="shared" si="40"/>
        <v>47299</v>
      </c>
      <c r="DH62" s="151">
        <f t="shared" si="40"/>
        <v>47330</v>
      </c>
      <c r="DI62" s="151">
        <f t="shared" si="40"/>
        <v>47361</v>
      </c>
      <c r="DJ62" s="151">
        <f t="shared" si="40"/>
        <v>47391</v>
      </c>
      <c r="DK62" s="151">
        <f t="shared" si="40"/>
        <v>47422</v>
      </c>
      <c r="DL62" s="151">
        <f t="shared" si="40"/>
        <v>47452</v>
      </c>
      <c r="DM62" s="151">
        <f t="shared" si="40"/>
        <v>47483</v>
      </c>
      <c r="DN62" s="151">
        <f t="shared" si="40"/>
        <v>47514</v>
      </c>
      <c r="DO62" s="151">
        <f t="shared" si="40"/>
        <v>47542</v>
      </c>
      <c r="DP62" s="151">
        <f t="shared" si="40"/>
        <v>47573</v>
      </c>
      <c r="DQ62" s="151">
        <f t="shared" si="40"/>
        <v>47603</v>
      </c>
      <c r="DR62" s="151">
        <f t="shared" si="40"/>
        <v>47634</v>
      </c>
      <c r="DS62" s="151">
        <f t="shared" si="40"/>
        <v>47664</v>
      </c>
      <c r="DT62" s="151">
        <f t="shared" si="40"/>
        <v>47695</v>
      </c>
      <c r="DU62" s="151">
        <f t="shared" si="40"/>
        <v>47726</v>
      </c>
      <c r="DV62" s="151">
        <f t="shared" si="40"/>
        <v>47756</v>
      </c>
      <c r="DW62" s="151">
        <f t="shared" si="40"/>
        <v>47787</v>
      </c>
      <c r="DX62" s="151">
        <f t="shared" si="40"/>
        <v>47817</v>
      </c>
      <c r="DY62" s="151">
        <f t="shared" si="40"/>
        <v>47848</v>
      </c>
      <c r="DZ62" s="151">
        <f t="shared" si="40"/>
        <v>47879</v>
      </c>
      <c r="EA62" s="151">
        <f t="shared" si="40"/>
        <v>47907</v>
      </c>
      <c r="EB62" s="151">
        <f t="shared" si="40"/>
        <v>47938</v>
      </c>
      <c r="EC62" s="151">
        <f t="shared" si="40"/>
        <v>47968</v>
      </c>
      <c r="ED62" s="151">
        <f t="shared" si="40"/>
        <v>47999</v>
      </c>
      <c r="EE62" s="151">
        <f t="shared" si="40"/>
        <v>48029</v>
      </c>
      <c r="EF62" s="151">
        <f t="shared" si="40"/>
        <v>48060</v>
      </c>
      <c r="EG62" s="151">
        <f t="shared" si="40"/>
        <v>48091</v>
      </c>
      <c r="EH62" s="151">
        <f t="shared" si="40"/>
        <v>48121</v>
      </c>
      <c r="EI62" s="151">
        <f t="shared" si="40"/>
        <v>48152</v>
      </c>
      <c r="EJ62" s="151">
        <f t="shared" si="40"/>
        <v>48182</v>
      </c>
      <c r="EK62" s="151">
        <f t="shared" si="40"/>
        <v>48213</v>
      </c>
      <c r="EL62" s="151">
        <f t="shared" si="40"/>
        <v>48244</v>
      </c>
      <c r="EM62" s="151">
        <f t="shared" si="40"/>
        <v>48273</v>
      </c>
      <c r="EN62" s="151">
        <f t="shared" si="40"/>
        <v>48304</v>
      </c>
      <c r="EO62" s="151">
        <f t="shared" si="40"/>
        <v>48334</v>
      </c>
      <c r="EP62" s="151">
        <f t="shared" si="40"/>
        <v>48365</v>
      </c>
      <c r="EQ62" s="151">
        <f t="shared" si="40"/>
        <v>48395</v>
      </c>
      <c r="ER62" s="151">
        <f t="shared" si="40"/>
        <v>48426</v>
      </c>
      <c r="ES62" s="151">
        <f t="shared" si="40"/>
        <v>48457</v>
      </c>
      <c r="ET62" s="151">
        <f t="shared" si="40"/>
        <v>48487</v>
      </c>
      <c r="EU62" s="151">
        <f t="shared" si="40"/>
        <v>48518</v>
      </c>
      <c r="EV62" s="151">
        <f t="shared" si="40"/>
        <v>48548</v>
      </c>
      <c r="EW62" s="151">
        <f t="shared" si="40"/>
        <v>48579</v>
      </c>
      <c r="EX62" s="151">
        <f t="shared" si="40"/>
        <v>48610</v>
      </c>
      <c r="EY62" s="151">
        <f t="shared" si="40"/>
        <v>48638</v>
      </c>
      <c r="EZ62" s="151">
        <f t="shared" ref="EZ62" si="41">EOMONTH(EY62,1)</f>
        <v>48669</v>
      </c>
    </row>
    <row r="64" spans="2:156">
      <c r="B64" s="2" t="s">
        <v>43</v>
      </c>
      <c r="C64" s="89">
        <v>0</v>
      </c>
      <c r="E64" s="50">
        <v>0</v>
      </c>
      <c r="F64" s="27">
        <f>E67</f>
        <v>28.75</v>
      </c>
      <c r="G64" s="27">
        <f t="shared" ref="G64:BR64" si="42">F67</f>
        <v>69</v>
      </c>
      <c r="H64" s="27">
        <f t="shared" si="42"/>
        <v>80.5</v>
      </c>
      <c r="I64" s="27">
        <f t="shared" si="42"/>
        <v>100.05</v>
      </c>
      <c r="J64" s="27">
        <f t="shared" si="42"/>
        <v>115</v>
      </c>
      <c r="K64" s="27">
        <f t="shared" si="42"/>
        <v>115</v>
      </c>
      <c r="L64" s="27">
        <f t="shared" si="42"/>
        <v>115</v>
      </c>
      <c r="M64" s="27">
        <f t="shared" si="42"/>
        <v>115</v>
      </c>
      <c r="N64" s="27">
        <f t="shared" si="42"/>
        <v>115</v>
      </c>
      <c r="O64" s="27">
        <f t="shared" si="42"/>
        <v>115</v>
      </c>
      <c r="P64" s="27">
        <f t="shared" si="42"/>
        <v>115</v>
      </c>
      <c r="Q64" s="27">
        <f t="shared" si="42"/>
        <v>113.80208333333333</v>
      </c>
      <c r="R64" s="27">
        <f t="shared" si="42"/>
        <v>112.60416666666666</v>
      </c>
      <c r="S64" s="27">
        <f t="shared" si="42"/>
        <v>111.40624999999999</v>
      </c>
      <c r="T64" s="27">
        <f t="shared" si="42"/>
        <v>110.20833333333331</v>
      </c>
      <c r="U64" s="27">
        <f t="shared" si="42"/>
        <v>109.01041666666664</v>
      </c>
      <c r="V64" s="27">
        <f t="shared" si="42"/>
        <v>107.81249999999997</v>
      </c>
      <c r="W64" s="27">
        <f t="shared" si="42"/>
        <v>106.6145833333333</v>
      </c>
      <c r="X64" s="27">
        <f t="shared" si="42"/>
        <v>105.41666666666663</v>
      </c>
      <c r="Y64" s="27">
        <f t="shared" si="42"/>
        <v>104.21874999999996</v>
      </c>
      <c r="Z64" s="27">
        <f t="shared" si="42"/>
        <v>103.02083333333329</v>
      </c>
      <c r="AA64" s="27">
        <f t="shared" si="42"/>
        <v>101.82291666666661</v>
      </c>
      <c r="AB64" s="27">
        <f t="shared" si="42"/>
        <v>100.62499999999994</v>
      </c>
      <c r="AC64" s="27">
        <f t="shared" si="42"/>
        <v>99.427083333333272</v>
      </c>
      <c r="AD64" s="27">
        <f t="shared" si="42"/>
        <v>98.2291666666666</v>
      </c>
      <c r="AE64" s="27">
        <f t="shared" si="42"/>
        <v>97.031249999999929</v>
      </c>
      <c r="AF64" s="27">
        <f t="shared" si="42"/>
        <v>95.833333333333258</v>
      </c>
      <c r="AG64" s="27">
        <f t="shared" si="42"/>
        <v>94.635416666666586</v>
      </c>
      <c r="AH64" s="27">
        <f t="shared" si="42"/>
        <v>93.437499999999915</v>
      </c>
      <c r="AI64" s="27">
        <f t="shared" si="42"/>
        <v>92.239583333333243</v>
      </c>
      <c r="AJ64" s="27">
        <f t="shared" si="42"/>
        <v>91.041666666666572</v>
      </c>
      <c r="AK64" s="27">
        <f t="shared" si="42"/>
        <v>89.843749999999901</v>
      </c>
      <c r="AL64" s="27">
        <f t="shared" si="42"/>
        <v>88.645833333333229</v>
      </c>
      <c r="AM64" s="27">
        <f t="shared" si="42"/>
        <v>87.447916666666558</v>
      </c>
      <c r="AN64" s="27">
        <f t="shared" si="42"/>
        <v>86.249999999999886</v>
      </c>
      <c r="AO64" s="27">
        <f t="shared" si="42"/>
        <v>85.052083333333215</v>
      </c>
      <c r="AP64" s="27">
        <f t="shared" si="42"/>
        <v>83.854166666666544</v>
      </c>
      <c r="AQ64" s="27">
        <f t="shared" si="42"/>
        <v>82.656249999999872</v>
      </c>
      <c r="AR64" s="27">
        <f t="shared" si="42"/>
        <v>81.458333333333201</v>
      </c>
      <c r="AS64" s="27">
        <f t="shared" si="42"/>
        <v>80.260416666666529</v>
      </c>
      <c r="AT64" s="27">
        <f t="shared" si="42"/>
        <v>79.062499999999858</v>
      </c>
      <c r="AU64" s="27">
        <f t="shared" si="42"/>
        <v>77.864583333333186</v>
      </c>
      <c r="AV64" s="27">
        <f t="shared" si="42"/>
        <v>76.666666666666515</v>
      </c>
      <c r="AW64" s="27">
        <f t="shared" si="42"/>
        <v>75.468749999999844</v>
      </c>
      <c r="AX64" s="27">
        <f t="shared" si="42"/>
        <v>74.270833333333172</v>
      </c>
      <c r="AY64" s="27">
        <f t="shared" si="42"/>
        <v>73.072916666666501</v>
      </c>
      <c r="AZ64" s="27">
        <f t="shared" si="42"/>
        <v>71.874999999999829</v>
      </c>
      <c r="BA64" s="27">
        <f t="shared" si="42"/>
        <v>70.677083333333158</v>
      </c>
      <c r="BB64" s="27">
        <f t="shared" si="42"/>
        <v>69.479166666666487</v>
      </c>
      <c r="BC64" s="27">
        <f t="shared" si="42"/>
        <v>68.281249999999815</v>
      </c>
      <c r="BD64" s="27">
        <f t="shared" si="42"/>
        <v>67.083333333333144</v>
      </c>
      <c r="BE64" s="27">
        <f t="shared" si="42"/>
        <v>65.885416666666472</v>
      </c>
      <c r="BF64" s="27">
        <f t="shared" si="42"/>
        <v>64.687499999999801</v>
      </c>
      <c r="BG64" s="27">
        <f t="shared" si="42"/>
        <v>63.489583333333137</v>
      </c>
      <c r="BH64" s="27">
        <f t="shared" si="42"/>
        <v>62.291666666666472</v>
      </c>
      <c r="BI64" s="27">
        <f t="shared" si="42"/>
        <v>61.093749999999808</v>
      </c>
      <c r="BJ64" s="27">
        <f t="shared" si="42"/>
        <v>59.895833333333144</v>
      </c>
      <c r="BK64" s="27">
        <f t="shared" si="42"/>
        <v>58.69791666666648</v>
      </c>
      <c r="BL64" s="27">
        <f t="shared" si="42"/>
        <v>57.499999999999815</v>
      </c>
      <c r="BM64" s="27">
        <f t="shared" si="42"/>
        <v>56.302083333333151</v>
      </c>
      <c r="BN64" s="27">
        <f t="shared" si="42"/>
        <v>55.104166666666487</v>
      </c>
      <c r="BO64" s="27">
        <f t="shared" si="42"/>
        <v>53.906249999999822</v>
      </c>
      <c r="BP64" s="27">
        <f t="shared" si="42"/>
        <v>52.708333333333158</v>
      </c>
      <c r="BQ64" s="27">
        <f t="shared" si="42"/>
        <v>51.510416666666494</v>
      </c>
      <c r="BR64" s="27">
        <f t="shared" si="42"/>
        <v>50.312499999999829</v>
      </c>
      <c r="BS64" s="27">
        <f t="shared" ref="BS64:DP64" si="43">BR67</f>
        <v>49.114583333333165</v>
      </c>
      <c r="BT64" s="27">
        <f t="shared" si="43"/>
        <v>47.916666666666501</v>
      </c>
      <c r="BU64" s="27">
        <f t="shared" si="43"/>
        <v>46.718749999999837</v>
      </c>
      <c r="BV64" s="27">
        <f t="shared" si="43"/>
        <v>45.520833333333172</v>
      </c>
      <c r="BW64" s="27">
        <f t="shared" si="43"/>
        <v>44.322916666666508</v>
      </c>
      <c r="BX64" s="27">
        <f t="shared" si="43"/>
        <v>43.124999999999844</v>
      </c>
      <c r="BY64" s="27">
        <f t="shared" si="43"/>
        <v>41.927083333333179</v>
      </c>
      <c r="BZ64" s="27">
        <f t="shared" si="43"/>
        <v>40.729166666666515</v>
      </c>
      <c r="CA64" s="27">
        <f t="shared" si="43"/>
        <v>39.531249999999851</v>
      </c>
      <c r="CB64" s="27">
        <f t="shared" si="43"/>
        <v>38.333333333333186</v>
      </c>
      <c r="CC64" s="27">
        <f t="shared" si="43"/>
        <v>37.135416666666522</v>
      </c>
      <c r="CD64" s="27">
        <f t="shared" si="43"/>
        <v>35.937499999999858</v>
      </c>
      <c r="CE64" s="27">
        <f t="shared" si="43"/>
        <v>34.739583333333194</v>
      </c>
      <c r="CF64" s="27">
        <f t="shared" si="43"/>
        <v>33.541666666666529</v>
      </c>
      <c r="CG64" s="27">
        <f t="shared" si="43"/>
        <v>32.343749999999865</v>
      </c>
      <c r="CH64" s="27">
        <f t="shared" si="43"/>
        <v>31.145833333333197</v>
      </c>
      <c r="CI64" s="27">
        <f t="shared" si="43"/>
        <v>29.947916666666529</v>
      </c>
      <c r="CJ64" s="27">
        <f t="shared" si="43"/>
        <v>28.749999999999861</v>
      </c>
      <c r="CK64" s="27">
        <f t="shared" si="43"/>
        <v>27.552083333333194</v>
      </c>
      <c r="CL64" s="27">
        <f t="shared" si="43"/>
        <v>26.354166666666526</v>
      </c>
      <c r="CM64" s="27">
        <f t="shared" si="43"/>
        <v>25.156249999999858</v>
      </c>
      <c r="CN64" s="27">
        <f t="shared" si="43"/>
        <v>23.95833333333319</v>
      </c>
      <c r="CO64" s="27">
        <f t="shared" si="43"/>
        <v>22.760416666666522</v>
      </c>
      <c r="CP64" s="27">
        <f t="shared" si="43"/>
        <v>21.562499999999854</v>
      </c>
      <c r="CQ64" s="27">
        <f t="shared" si="43"/>
        <v>20.364583333333186</v>
      </c>
      <c r="CR64" s="27">
        <f t="shared" si="43"/>
        <v>19.166666666666519</v>
      </c>
      <c r="CS64" s="27">
        <f t="shared" si="43"/>
        <v>17.968749999999851</v>
      </c>
      <c r="CT64" s="27">
        <f t="shared" si="43"/>
        <v>16.770833333333183</v>
      </c>
      <c r="CU64" s="27">
        <f t="shared" si="43"/>
        <v>15.572916666666517</v>
      </c>
      <c r="CV64" s="27">
        <f t="shared" si="43"/>
        <v>14.374999999999851</v>
      </c>
      <c r="CW64" s="27">
        <f t="shared" si="43"/>
        <v>13.177083333333185</v>
      </c>
      <c r="CX64" s="27">
        <f t="shared" si="43"/>
        <v>11.979166666666519</v>
      </c>
      <c r="CY64" s="27">
        <f t="shared" si="43"/>
        <v>10.781249999999853</v>
      </c>
      <c r="CZ64" s="27">
        <f t="shared" si="43"/>
        <v>9.5833333333331865</v>
      </c>
      <c r="DA64" s="27">
        <f t="shared" si="43"/>
        <v>8.3854166666665204</v>
      </c>
      <c r="DB64" s="27">
        <f t="shared" si="43"/>
        <v>7.1874999999998543</v>
      </c>
      <c r="DC64" s="27">
        <f t="shared" si="43"/>
        <v>5.9895833333331883</v>
      </c>
      <c r="DD64" s="27">
        <f t="shared" si="43"/>
        <v>4.7916666666665222</v>
      </c>
      <c r="DE64" s="27">
        <f t="shared" si="43"/>
        <v>3.5937499999998557</v>
      </c>
      <c r="DF64" s="27">
        <f t="shared" si="43"/>
        <v>2.3958333333331892</v>
      </c>
      <c r="DG64" s="27">
        <f t="shared" si="43"/>
        <v>1.1979166666665226</v>
      </c>
      <c r="DH64" s="27">
        <f t="shared" si="43"/>
        <v>-1.4388490399142029E-13</v>
      </c>
      <c r="DI64" s="27">
        <f t="shared" si="43"/>
        <v>-1.4388490399142029E-13</v>
      </c>
      <c r="DJ64" s="27">
        <f t="shared" si="43"/>
        <v>-1.4388490399142029E-13</v>
      </c>
      <c r="DK64" s="27">
        <f t="shared" si="43"/>
        <v>-1.4388490399142029E-13</v>
      </c>
      <c r="DL64" s="27">
        <f t="shared" si="43"/>
        <v>-1.4388490399142029E-13</v>
      </c>
      <c r="DM64" s="27">
        <f t="shared" si="43"/>
        <v>-1.4388490399142029E-13</v>
      </c>
      <c r="DN64" s="27">
        <f t="shared" si="43"/>
        <v>-1.4388490399142029E-13</v>
      </c>
      <c r="DO64" s="27">
        <f t="shared" si="43"/>
        <v>-1.4388490399142029E-13</v>
      </c>
      <c r="DP64" s="27">
        <f t="shared" si="43"/>
        <v>-1.4388490399142029E-13</v>
      </c>
      <c r="DQ64" s="27"/>
      <c r="DR64" s="27"/>
      <c r="DS64" s="27"/>
      <c r="DT64" s="27"/>
      <c r="DU64" s="27"/>
      <c r="DV64" s="27"/>
      <c r="DW64" s="27"/>
      <c r="DX64" s="27"/>
      <c r="DY64" s="27"/>
      <c r="DZ64" s="27"/>
      <c r="EA64" s="27"/>
      <c r="EB64" s="27"/>
      <c r="EC64" s="27"/>
      <c r="ED64" s="27"/>
      <c r="EE64" s="27"/>
      <c r="EF64" s="27"/>
      <c r="EG64" s="27"/>
      <c r="EH64" s="27"/>
      <c r="EI64" s="27"/>
      <c r="EJ64" s="27"/>
      <c r="EK64" s="27"/>
      <c r="EL64" s="27"/>
      <c r="EM64" s="27"/>
      <c r="EN64" s="27"/>
      <c r="EO64" s="27"/>
      <c r="EP64" s="27"/>
      <c r="EQ64" s="27"/>
      <c r="ER64" s="27"/>
      <c r="ES64" s="27"/>
      <c r="ET64" s="27"/>
      <c r="EU64" s="27"/>
      <c r="EV64" s="27"/>
      <c r="EW64" s="27"/>
      <c r="EX64" s="27"/>
      <c r="EY64" s="27"/>
      <c r="EZ64" s="27"/>
    </row>
    <row r="65" spans="2:156">
      <c r="B65" s="2" t="s">
        <v>145</v>
      </c>
      <c r="C65" s="89">
        <f>SUM(E65:AI65)</f>
        <v>115</v>
      </c>
      <c r="E65" s="27">
        <f>E33</f>
        <v>28.75</v>
      </c>
      <c r="F65" s="27">
        <f t="shared" ref="F65:I65" si="44">F33</f>
        <v>40.25</v>
      </c>
      <c r="G65" s="27">
        <f t="shared" si="44"/>
        <v>11.5</v>
      </c>
      <c r="H65" s="27">
        <f t="shared" si="44"/>
        <v>19.55</v>
      </c>
      <c r="I65" s="27">
        <f t="shared" si="44"/>
        <v>14.950000000000001</v>
      </c>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row>
    <row r="66" spans="2:156">
      <c r="B66" s="2" t="s">
        <v>146</v>
      </c>
      <c r="C66" s="89">
        <f>SUM(E66:EZ66)</f>
        <v>115.00000000000014</v>
      </c>
      <c r="E66" s="27">
        <f>$C$65*N43</f>
        <v>0</v>
      </c>
      <c r="F66" s="27">
        <f t="shared" ref="F66:L66" si="45">$C$65*O43</f>
        <v>0</v>
      </c>
      <c r="G66" s="27">
        <f t="shared" si="45"/>
        <v>0</v>
      </c>
      <c r="H66" s="27">
        <f t="shared" si="45"/>
        <v>0</v>
      </c>
      <c r="I66" s="27">
        <f t="shared" si="45"/>
        <v>0</v>
      </c>
      <c r="J66" s="27">
        <f t="shared" si="45"/>
        <v>0</v>
      </c>
      <c r="K66" s="27">
        <f t="shared" si="45"/>
        <v>0</v>
      </c>
      <c r="L66" s="27">
        <f t="shared" si="45"/>
        <v>0</v>
      </c>
      <c r="M66" s="250">
        <f>$C$65*J44</f>
        <v>0</v>
      </c>
      <c r="N66" s="250">
        <f t="shared" ref="N66:X66" si="46">$C$65*K44</f>
        <v>0</v>
      </c>
      <c r="O66" s="250">
        <f t="shared" si="46"/>
        <v>0</v>
      </c>
      <c r="P66" s="250">
        <f t="shared" si="46"/>
        <v>1.1979166666666665</v>
      </c>
      <c r="Q66" s="250">
        <f t="shared" si="46"/>
        <v>1.1979166666666665</v>
      </c>
      <c r="R66" s="250">
        <f t="shared" si="46"/>
        <v>1.1979166666666665</v>
      </c>
      <c r="S66" s="250">
        <f t="shared" si="46"/>
        <v>1.1979166666666665</v>
      </c>
      <c r="T66" s="250">
        <f t="shared" si="46"/>
        <v>1.1979166666666665</v>
      </c>
      <c r="U66" s="250">
        <f t="shared" si="46"/>
        <v>1.1979166666666665</v>
      </c>
      <c r="V66" s="250">
        <f t="shared" si="46"/>
        <v>1.1979166666666665</v>
      </c>
      <c r="W66" s="250">
        <f t="shared" si="46"/>
        <v>1.1979166666666665</v>
      </c>
      <c r="X66" s="250">
        <f t="shared" si="46"/>
        <v>1.1979166666666665</v>
      </c>
      <c r="Y66" s="251">
        <f>$C$65*J45</f>
        <v>1.1979166666666665</v>
      </c>
      <c r="Z66" s="251">
        <f t="shared" ref="Z66:AJ66" si="47">$C$65*K45</f>
        <v>1.1979166666666665</v>
      </c>
      <c r="AA66" s="251">
        <f t="shared" si="47"/>
        <v>1.1979166666666665</v>
      </c>
      <c r="AB66" s="251">
        <f t="shared" si="47"/>
        <v>1.1979166666666665</v>
      </c>
      <c r="AC66" s="251">
        <f t="shared" si="47"/>
        <v>1.1979166666666665</v>
      </c>
      <c r="AD66" s="251">
        <f t="shared" si="47"/>
        <v>1.1979166666666665</v>
      </c>
      <c r="AE66" s="251">
        <f t="shared" si="47"/>
        <v>1.1979166666666665</v>
      </c>
      <c r="AF66" s="251">
        <f t="shared" si="47"/>
        <v>1.1979166666666665</v>
      </c>
      <c r="AG66" s="251">
        <f t="shared" si="47"/>
        <v>1.1979166666666665</v>
      </c>
      <c r="AH66" s="251">
        <f t="shared" si="47"/>
        <v>1.1979166666666665</v>
      </c>
      <c r="AI66" s="251">
        <f t="shared" si="47"/>
        <v>1.1979166666666665</v>
      </c>
      <c r="AJ66" s="251">
        <f t="shared" si="47"/>
        <v>1.1979166666666665</v>
      </c>
      <c r="AK66" s="252">
        <f>$C$65*J46</f>
        <v>1.1979166666666665</v>
      </c>
      <c r="AL66" s="252">
        <f t="shared" ref="AL66:AV66" si="48">$C$65*K46</f>
        <v>1.1979166666666665</v>
      </c>
      <c r="AM66" s="252">
        <f t="shared" si="48"/>
        <v>1.1979166666666665</v>
      </c>
      <c r="AN66" s="252">
        <f t="shared" si="48"/>
        <v>1.1979166666666665</v>
      </c>
      <c r="AO66" s="252">
        <f t="shared" si="48"/>
        <v>1.1979166666666665</v>
      </c>
      <c r="AP66" s="252">
        <f t="shared" si="48"/>
        <v>1.1979166666666665</v>
      </c>
      <c r="AQ66" s="252">
        <f t="shared" si="48"/>
        <v>1.1979166666666665</v>
      </c>
      <c r="AR66" s="252">
        <f t="shared" si="48"/>
        <v>1.1979166666666665</v>
      </c>
      <c r="AS66" s="252">
        <f t="shared" si="48"/>
        <v>1.1979166666666665</v>
      </c>
      <c r="AT66" s="252">
        <f t="shared" si="48"/>
        <v>1.1979166666666665</v>
      </c>
      <c r="AU66" s="252">
        <f t="shared" si="48"/>
        <v>1.1979166666666665</v>
      </c>
      <c r="AV66" s="252">
        <f t="shared" si="48"/>
        <v>1.1979166666666665</v>
      </c>
      <c r="AW66" s="253">
        <f>$C$65*J47</f>
        <v>1.1979166666666665</v>
      </c>
      <c r="AX66" s="253">
        <f t="shared" ref="AX66:BH66" si="49">$C$65*K47</f>
        <v>1.1979166666666665</v>
      </c>
      <c r="AY66" s="253">
        <f t="shared" si="49"/>
        <v>1.1979166666666665</v>
      </c>
      <c r="AZ66" s="253">
        <f t="shared" si="49"/>
        <v>1.1979166666666665</v>
      </c>
      <c r="BA66" s="253">
        <f t="shared" si="49"/>
        <v>1.1979166666666665</v>
      </c>
      <c r="BB66" s="253">
        <f t="shared" si="49"/>
        <v>1.1979166666666665</v>
      </c>
      <c r="BC66" s="253">
        <f t="shared" si="49"/>
        <v>1.1979166666666665</v>
      </c>
      <c r="BD66" s="253">
        <f t="shared" si="49"/>
        <v>1.1979166666666665</v>
      </c>
      <c r="BE66" s="253">
        <f t="shared" si="49"/>
        <v>1.1979166666666665</v>
      </c>
      <c r="BF66" s="253">
        <f t="shared" si="49"/>
        <v>1.1979166666666665</v>
      </c>
      <c r="BG66" s="253">
        <f t="shared" si="49"/>
        <v>1.1979166666666665</v>
      </c>
      <c r="BH66" s="253">
        <f t="shared" si="49"/>
        <v>1.1979166666666665</v>
      </c>
      <c r="BI66" s="254">
        <f>$C$65*J48</f>
        <v>1.1979166666666665</v>
      </c>
      <c r="BJ66" s="254">
        <f t="shared" ref="BJ66:BT66" si="50">$C$65*K48</f>
        <v>1.1979166666666665</v>
      </c>
      <c r="BK66" s="254">
        <f t="shared" si="50"/>
        <v>1.1979166666666665</v>
      </c>
      <c r="BL66" s="254">
        <f t="shared" si="50"/>
        <v>1.1979166666666665</v>
      </c>
      <c r="BM66" s="254">
        <f t="shared" si="50"/>
        <v>1.1979166666666665</v>
      </c>
      <c r="BN66" s="254">
        <f t="shared" si="50"/>
        <v>1.1979166666666665</v>
      </c>
      <c r="BO66" s="254">
        <f t="shared" si="50"/>
        <v>1.1979166666666665</v>
      </c>
      <c r="BP66" s="254">
        <f t="shared" si="50"/>
        <v>1.1979166666666665</v>
      </c>
      <c r="BQ66" s="254">
        <f t="shared" si="50"/>
        <v>1.1979166666666665</v>
      </c>
      <c r="BR66" s="254">
        <f t="shared" si="50"/>
        <v>1.1979166666666665</v>
      </c>
      <c r="BS66" s="254">
        <f t="shared" si="50"/>
        <v>1.1979166666666665</v>
      </c>
      <c r="BT66" s="254">
        <f t="shared" si="50"/>
        <v>1.1979166666666665</v>
      </c>
      <c r="BU66" s="251">
        <f>$C$65*J49</f>
        <v>1.1979166666666665</v>
      </c>
      <c r="BV66" s="251">
        <f t="shared" ref="BV66:CF66" si="51">$C$65*K49</f>
        <v>1.1979166666666665</v>
      </c>
      <c r="BW66" s="251">
        <f t="shared" si="51"/>
        <v>1.1979166666666665</v>
      </c>
      <c r="BX66" s="251">
        <f t="shared" si="51"/>
        <v>1.1979166666666665</v>
      </c>
      <c r="BY66" s="251">
        <f t="shared" si="51"/>
        <v>1.1979166666666665</v>
      </c>
      <c r="BZ66" s="251">
        <f t="shared" si="51"/>
        <v>1.1979166666666665</v>
      </c>
      <c r="CA66" s="251">
        <f t="shared" si="51"/>
        <v>1.1979166666666665</v>
      </c>
      <c r="CB66" s="251">
        <f t="shared" si="51"/>
        <v>1.1979166666666665</v>
      </c>
      <c r="CC66" s="251">
        <f t="shared" si="51"/>
        <v>1.1979166666666665</v>
      </c>
      <c r="CD66" s="251">
        <f t="shared" si="51"/>
        <v>1.1979166666666665</v>
      </c>
      <c r="CE66" s="251">
        <f t="shared" si="51"/>
        <v>1.1979166666666665</v>
      </c>
      <c r="CF66" s="251">
        <f t="shared" si="51"/>
        <v>1.1979166666666665</v>
      </c>
      <c r="CG66" s="250">
        <f>$C$65*J50</f>
        <v>1.1979166666666665</v>
      </c>
      <c r="CH66" s="250">
        <f t="shared" ref="CH66:CR66" si="52">$C$65*K50</f>
        <v>1.1979166666666665</v>
      </c>
      <c r="CI66" s="250">
        <f t="shared" si="52"/>
        <v>1.1979166666666665</v>
      </c>
      <c r="CJ66" s="250">
        <f t="shared" si="52"/>
        <v>1.1979166666666665</v>
      </c>
      <c r="CK66" s="250">
        <f t="shared" si="52"/>
        <v>1.1979166666666665</v>
      </c>
      <c r="CL66" s="250">
        <f t="shared" si="52"/>
        <v>1.1979166666666665</v>
      </c>
      <c r="CM66" s="250">
        <f t="shared" si="52"/>
        <v>1.1979166666666665</v>
      </c>
      <c r="CN66" s="250">
        <f t="shared" si="52"/>
        <v>1.1979166666666665</v>
      </c>
      <c r="CO66" s="250">
        <f t="shared" si="52"/>
        <v>1.1979166666666665</v>
      </c>
      <c r="CP66" s="250">
        <f t="shared" si="52"/>
        <v>1.1979166666666665</v>
      </c>
      <c r="CQ66" s="250">
        <f t="shared" si="52"/>
        <v>1.1979166666666665</v>
      </c>
      <c r="CR66" s="250">
        <f t="shared" si="52"/>
        <v>1.1979166666666665</v>
      </c>
      <c r="CS66" s="255">
        <f>$C$65*J51</f>
        <v>1.1979166666666665</v>
      </c>
      <c r="CT66" s="255">
        <f t="shared" ref="CT66:DD66" si="53">$C$65*K51</f>
        <v>1.1979166666666665</v>
      </c>
      <c r="CU66" s="255">
        <f t="shared" si="53"/>
        <v>1.1979166666666665</v>
      </c>
      <c r="CV66" s="255">
        <f t="shared" si="53"/>
        <v>1.1979166666666665</v>
      </c>
      <c r="CW66" s="255">
        <f t="shared" si="53"/>
        <v>1.1979166666666665</v>
      </c>
      <c r="CX66" s="255">
        <f t="shared" si="53"/>
        <v>1.1979166666666665</v>
      </c>
      <c r="CY66" s="255">
        <f t="shared" si="53"/>
        <v>1.1979166666666665</v>
      </c>
      <c r="CZ66" s="255">
        <f t="shared" si="53"/>
        <v>1.1979166666666665</v>
      </c>
      <c r="DA66" s="255">
        <f t="shared" si="53"/>
        <v>1.1979166666666665</v>
      </c>
      <c r="DB66" s="255">
        <f t="shared" si="53"/>
        <v>1.1979166666666665</v>
      </c>
      <c r="DC66" s="255">
        <f t="shared" si="53"/>
        <v>1.1979166666666665</v>
      </c>
      <c r="DD66" s="255">
        <f t="shared" si="53"/>
        <v>1.1979166666666665</v>
      </c>
      <c r="DE66" s="253">
        <f>$C$65*J52</f>
        <v>1.1979166666666665</v>
      </c>
      <c r="DF66" s="253">
        <f t="shared" ref="DF66:DP66" si="54">$C$65*K52</f>
        <v>1.1979166666666665</v>
      </c>
      <c r="DG66" s="253">
        <f t="shared" si="54"/>
        <v>1.1979166666666665</v>
      </c>
      <c r="DH66" s="253">
        <f t="shared" si="54"/>
        <v>0</v>
      </c>
      <c r="DI66" s="253">
        <f t="shared" si="54"/>
        <v>0</v>
      </c>
      <c r="DJ66" s="253">
        <f t="shared" si="54"/>
        <v>0</v>
      </c>
      <c r="DK66" s="253">
        <f t="shared" si="54"/>
        <v>0</v>
      </c>
      <c r="DL66" s="253">
        <f t="shared" si="54"/>
        <v>0</v>
      </c>
      <c r="DM66" s="253">
        <f t="shared" si="54"/>
        <v>0</v>
      </c>
      <c r="DN66" s="253">
        <f t="shared" si="54"/>
        <v>0</v>
      </c>
      <c r="DO66" s="253">
        <f t="shared" si="54"/>
        <v>0</v>
      </c>
      <c r="DP66" s="253">
        <f t="shared" si="54"/>
        <v>0</v>
      </c>
      <c r="DQ66" s="27"/>
      <c r="DR66" s="27"/>
      <c r="DS66" s="27"/>
      <c r="DT66" s="27"/>
      <c r="DU66" s="27"/>
      <c r="DV66" s="27"/>
      <c r="DW66" s="27"/>
      <c r="DX66" s="27"/>
      <c r="DY66" s="27"/>
      <c r="DZ66" s="27"/>
      <c r="EA66" s="27"/>
      <c r="EB66" s="27"/>
      <c r="EC66" s="27"/>
      <c r="ED66" s="27"/>
      <c r="EE66" s="27"/>
      <c r="EF66" s="27"/>
      <c r="EG66" s="27"/>
      <c r="EH66" s="27"/>
      <c r="EI66" s="27"/>
      <c r="EJ66" s="27"/>
      <c r="EK66" s="27"/>
      <c r="EL66" s="27"/>
      <c r="EM66" s="27"/>
      <c r="EN66" s="27"/>
      <c r="EO66" s="27"/>
      <c r="EP66" s="27"/>
      <c r="EQ66" s="27"/>
      <c r="ER66" s="27"/>
      <c r="ES66" s="27"/>
      <c r="ET66" s="27"/>
      <c r="EU66" s="27"/>
      <c r="EV66" s="27"/>
      <c r="EW66" s="27"/>
      <c r="EX66" s="27"/>
      <c r="EY66" s="27"/>
      <c r="EZ66" s="27"/>
    </row>
    <row r="67" spans="2:156">
      <c r="B67" s="2" t="s">
        <v>44</v>
      </c>
      <c r="C67" s="89">
        <v>0</v>
      </c>
      <c r="E67" s="27">
        <f>E64+E65-E66</f>
        <v>28.75</v>
      </c>
      <c r="F67" s="27">
        <f>F64+F65-F66</f>
        <v>69</v>
      </c>
      <c r="G67" s="27">
        <f t="shared" ref="G67:BR67" si="55">G64+G65-G66</f>
        <v>80.5</v>
      </c>
      <c r="H67" s="27">
        <f t="shared" si="55"/>
        <v>100.05</v>
      </c>
      <c r="I67" s="27">
        <f t="shared" si="55"/>
        <v>115</v>
      </c>
      <c r="J67" s="27">
        <f t="shared" si="55"/>
        <v>115</v>
      </c>
      <c r="K67" s="27">
        <f t="shared" si="55"/>
        <v>115</v>
      </c>
      <c r="L67" s="27">
        <f t="shared" si="55"/>
        <v>115</v>
      </c>
      <c r="M67" s="27">
        <f t="shared" si="55"/>
        <v>115</v>
      </c>
      <c r="N67" s="27">
        <f t="shared" si="55"/>
        <v>115</v>
      </c>
      <c r="O67" s="27">
        <f t="shared" si="55"/>
        <v>115</v>
      </c>
      <c r="P67" s="27">
        <f t="shared" si="55"/>
        <v>113.80208333333333</v>
      </c>
      <c r="Q67" s="27">
        <f t="shared" si="55"/>
        <v>112.60416666666666</v>
      </c>
      <c r="R67" s="27">
        <f t="shared" si="55"/>
        <v>111.40624999999999</v>
      </c>
      <c r="S67" s="27">
        <f t="shared" si="55"/>
        <v>110.20833333333331</v>
      </c>
      <c r="T67" s="27">
        <f t="shared" si="55"/>
        <v>109.01041666666664</v>
      </c>
      <c r="U67" s="27">
        <f t="shared" si="55"/>
        <v>107.81249999999997</v>
      </c>
      <c r="V67" s="27">
        <f t="shared" si="55"/>
        <v>106.6145833333333</v>
      </c>
      <c r="W67" s="27">
        <f t="shared" si="55"/>
        <v>105.41666666666663</v>
      </c>
      <c r="X67" s="27">
        <f t="shared" si="55"/>
        <v>104.21874999999996</v>
      </c>
      <c r="Y67" s="27">
        <f t="shared" si="55"/>
        <v>103.02083333333329</v>
      </c>
      <c r="Z67" s="27">
        <f t="shared" si="55"/>
        <v>101.82291666666661</v>
      </c>
      <c r="AA67" s="27">
        <f t="shared" si="55"/>
        <v>100.62499999999994</v>
      </c>
      <c r="AB67" s="27">
        <f t="shared" si="55"/>
        <v>99.427083333333272</v>
      </c>
      <c r="AC67" s="27">
        <f t="shared" si="55"/>
        <v>98.2291666666666</v>
      </c>
      <c r="AD67" s="27">
        <f t="shared" si="55"/>
        <v>97.031249999999929</v>
      </c>
      <c r="AE67" s="27">
        <f t="shared" si="55"/>
        <v>95.833333333333258</v>
      </c>
      <c r="AF67" s="27">
        <f t="shared" si="55"/>
        <v>94.635416666666586</v>
      </c>
      <c r="AG67" s="27">
        <f t="shared" si="55"/>
        <v>93.437499999999915</v>
      </c>
      <c r="AH67" s="27">
        <f t="shared" si="55"/>
        <v>92.239583333333243</v>
      </c>
      <c r="AI67" s="27">
        <f t="shared" si="55"/>
        <v>91.041666666666572</v>
      </c>
      <c r="AJ67" s="27">
        <f t="shared" si="55"/>
        <v>89.843749999999901</v>
      </c>
      <c r="AK67" s="27">
        <f t="shared" si="55"/>
        <v>88.645833333333229</v>
      </c>
      <c r="AL67" s="27">
        <f t="shared" si="55"/>
        <v>87.447916666666558</v>
      </c>
      <c r="AM67" s="27">
        <f t="shared" si="55"/>
        <v>86.249999999999886</v>
      </c>
      <c r="AN67" s="27">
        <f t="shared" si="55"/>
        <v>85.052083333333215</v>
      </c>
      <c r="AO67" s="27">
        <f t="shared" si="55"/>
        <v>83.854166666666544</v>
      </c>
      <c r="AP67" s="27">
        <f t="shared" si="55"/>
        <v>82.656249999999872</v>
      </c>
      <c r="AQ67" s="27">
        <f t="shared" si="55"/>
        <v>81.458333333333201</v>
      </c>
      <c r="AR67" s="27">
        <f t="shared" si="55"/>
        <v>80.260416666666529</v>
      </c>
      <c r="AS67" s="27">
        <f t="shared" si="55"/>
        <v>79.062499999999858</v>
      </c>
      <c r="AT67" s="27">
        <f t="shared" si="55"/>
        <v>77.864583333333186</v>
      </c>
      <c r="AU67" s="27">
        <f t="shared" si="55"/>
        <v>76.666666666666515</v>
      </c>
      <c r="AV67" s="27">
        <f t="shared" si="55"/>
        <v>75.468749999999844</v>
      </c>
      <c r="AW67" s="27">
        <f t="shared" si="55"/>
        <v>74.270833333333172</v>
      </c>
      <c r="AX67" s="27">
        <f t="shared" si="55"/>
        <v>73.072916666666501</v>
      </c>
      <c r="AY67" s="27">
        <f t="shared" si="55"/>
        <v>71.874999999999829</v>
      </c>
      <c r="AZ67" s="27">
        <f t="shared" si="55"/>
        <v>70.677083333333158</v>
      </c>
      <c r="BA67" s="27">
        <f t="shared" si="55"/>
        <v>69.479166666666487</v>
      </c>
      <c r="BB67" s="27">
        <f t="shared" si="55"/>
        <v>68.281249999999815</v>
      </c>
      <c r="BC67" s="27">
        <f t="shared" si="55"/>
        <v>67.083333333333144</v>
      </c>
      <c r="BD67" s="27">
        <f t="shared" si="55"/>
        <v>65.885416666666472</v>
      </c>
      <c r="BE67" s="27">
        <f t="shared" si="55"/>
        <v>64.687499999999801</v>
      </c>
      <c r="BF67" s="27">
        <f t="shared" si="55"/>
        <v>63.489583333333137</v>
      </c>
      <c r="BG67" s="27">
        <f t="shared" si="55"/>
        <v>62.291666666666472</v>
      </c>
      <c r="BH67" s="27">
        <f t="shared" si="55"/>
        <v>61.093749999999808</v>
      </c>
      <c r="BI67" s="27">
        <f t="shared" si="55"/>
        <v>59.895833333333144</v>
      </c>
      <c r="BJ67" s="27">
        <f t="shared" si="55"/>
        <v>58.69791666666648</v>
      </c>
      <c r="BK67" s="27">
        <f t="shared" si="55"/>
        <v>57.499999999999815</v>
      </c>
      <c r="BL67" s="27">
        <f t="shared" si="55"/>
        <v>56.302083333333151</v>
      </c>
      <c r="BM67" s="27">
        <f t="shared" si="55"/>
        <v>55.104166666666487</v>
      </c>
      <c r="BN67" s="27">
        <f t="shared" si="55"/>
        <v>53.906249999999822</v>
      </c>
      <c r="BO67" s="27">
        <f t="shared" si="55"/>
        <v>52.708333333333158</v>
      </c>
      <c r="BP67" s="27">
        <f t="shared" si="55"/>
        <v>51.510416666666494</v>
      </c>
      <c r="BQ67" s="27">
        <f t="shared" si="55"/>
        <v>50.312499999999829</v>
      </c>
      <c r="BR67" s="27">
        <f t="shared" si="55"/>
        <v>49.114583333333165</v>
      </c>
      <c r="BS67" s="27">
        <f t="shared" ref="BS67:DF67" si="56">BS64+BS65-BS66</f>
        <v>47.916666666666501</v>
      </c>
      <c r="BT67" s="27">
        <f t="shared" si="56"/>
        <v>46.718749999999837</v>
      </c>
      <c r="BU67" s="27">
        <f t="shared" si="56"/>
        <v>45.520833333333172</v>
      </c>
      <c r="BV67" s="27">
        <f t="shared" si="56"/>
        <v>44.322916666666508</v>
      </c>
      <c r="BW67" s="27">
        <f t="shared" si="56"/>
        <v>43.124999999999844</v>
      </c>
      <c r="BX67" s="27">
        <f t="shared" si="56"/>
        <v>41.927083333333179</v>
      </c>
      <c r="BY67" s="27">
        <f t="shared" si="56"/>
        <v>40.729166666666515</v>
      </c>
      <c r="BZ67" s="27">
        <f t="shared" si="56"/>
        <v>39.531249999999851</v>
      </c>
      <c r="CA67" s="27">
        <f t="shared" si="56"/>
        <v>38.333333333333186</v>
      </c>
      <c r="CB67" s="27">
        <f t="shared" si="56"/>
        <v>37.135416666666522</v>
      </c>
      <c r="CC67" s="27">
        <f t="shared" si="56"/>
        <v>35.937499999999858</v>
      </c>
      <c r="CD67" s="27">
        <f t="shared" si="56"/>
        <v>34.739583333333194</v>
      </c>
      <c r="CE67" s="27">
        <f t="shared" si="56"/>
        <v>33.541666666666529</v>
      </c>
      <c r="CF67" s="27">
        <f t="shared" si="56"/>
        <v>32.343749999999865</v>
      </c>
      <c r="CG67" s="27">
        <f t="shared" si="56"/>
        <v>31.145833333333197</v>
      </c>
      <c r="CH67" s="27">
        <f t="shared" si="56"/>
        <v>29.947916666666529</v>
      </c>
      <c r="CI67" s="27">
        <f t="shared" si="56"/>
        <v>28.749999999999861</v>
      </c>
      <c r="CJ67" s="27">
        <f t="shared" si="56"/>
        <v>27.552083333333194</v>
      </c>
      <c r="CK67" s="27">
        <f t="shared" si="56"/>
        <v>26.354166666666526</v>
      </c>
      <c r="CL67" s="27">
        <f t="shared" si="56"/>
        <v>25.156249999999858</v>
      </c>
      <c r="CM67" s="27">
        <f t="shared" si="56"/>
        <v>23.95833333333319</v>
      </c>
      <c r="CN67" s="27">
        <f t="shared" si="56"/>
        <v>22.760416666666522</v>
      </c>
      <c r="CO67" s="27">
        <f t="shared" si="56"/>
        <v>21.562499999999854</v>
      </c>
      <c r="CP67" s="27">
        <f t="shared" si="56"/>
        <v>20.364583333333186</v>
      </c>
      <c r="CQ67" s="27">
        <f t="shared" si="56"/>
        <v>19.166666666666519</v>
      </c>
      <c r="CR67" s="27">
        <f t="shared" si="56"/>
        <v>17.968749999999851</v>
      </c>
      <c r="CS67" s="27">
        <f t="shared" si="56"/>
        <v>16.770833333333183</v>
      </c>
      <c r="CT67" s="27">
        <f t="shared" si="56"/>
        <v>15.572916666666517</v>
      </c>
      <c r="CU67" s="27">
        <f t="shared" si="56"/>
        <v>14.374999999999851</v>
      </c>
      <c r="CV67" s="27">
        <f t="shared" si="56"/>
        <v>13.177083333333185</v>
      </c>
      <c r="CW67" s="27">
        <f t="shared" si="56"/>
        <v>11.979166666666519</v>
      </c>
      <c r="CX67" s="27">
        <f t="shared" si="56"/>
        <v>10.781249999999853</v>
      </c>
      <c r="CY67" s="27">
        <f t="shared" si="56"/>
        <v>9.5833333333331865</v>
      </c>
      <c r="CZ67" s="27">
        <f t="shared" si="56"/>
        <v>8.3854166666665204</v>
      </c>
      <c r="DA67" s="27">
        <f t="shared" si="56"/>
        <v>7.1874999999998543</v>
      </c>
      <c r="DB67" s="27">
        <f t="shared" si="56"/>
        <v>5.9895833333331883</v>
      </c>
      <c r="DC67" s="27">
        <f t="shared" si="56"/>
        <v>4.7916666666665222</v>
      </c>
      <c r="DD67" s="27">
        <f t="shared" si="56"/>
        <v>3.5937499999998557</v>
      </c>
      <c r="DE67" s="27">
        <f t="shared" si="56"/>
        <v>2.3958333333331892</v>
      </c>
      <c r="DF67" s="27">
        <f t="shared" si="56"/>
        <v>1.1979166666665226</v>
      </c>
      <c r="DG67" s="27">
        <f t="shared" ref="DG67" si="57">DG64+DG65-DG66</f>
        <v>-1.4388490399142029E-13</v>
      </c>
      <c r="DH67" s="27">
        <f t="shared" ref="DH67" si="58">DH64+DH65-DH66</f>
        <v>-1.4388490399142029E-13</v>
      </c>
      <c r="DI67" s="27">
        <f t="shared" ref="DI67" si="59">DI64+DI65-DI66</f>
        <v>-1.4388490399142029E-13</v>
      </c>
      <c r="DJ67" s="27">
        <f t="shared" ref="DJ67" si="60">DJ64+DJ65-DJ66</f>
        <v>-1.4388490399142029E-13</v>
      </c>
      <c r="DK67" s="27">
        <f t="shared" ref="DK67" si="61">DK64+DK65-DK66</f>
        <v>-1.4388490399142029E-13</v>
      </c>
      <c r="DL67" s="27">
        <f t="shared" ref="DL67" si="62">DL64+DL65-DL66</f>
        <v>-1.4388490399142029E-13</v>
      </c>
      <c r="DM67" s="27">
        <f t="shared" ref="DM67" si="63">DM64+DM65-DM66</f>
        <v>-1.4388490399142029E-13</v>
      </c>
      <c r="DN67" s="27">
        <f t="shared" ref="DN67" si="64">DN64+DN65-DN66</f>
        <v>-1.4388490399142029E-13</v>
      </c>
      <c r="DO67" s="27">
        <f t="shared" ref="DO67" si="65">DO64+DO65-DO66</f>
        <v>-1.4388490399142029E-13</v>
      </c>
      <c r="DP67" s="27">
        <f t="shared" ref="DP67" si="66">DP64+DP65-DP66</f>
        <v>-1.4388490399142029E-13</v>
      </c>
      <c r="DQ67" s="27"/>
      <c r="DR67" s="27"/>
      <c r="DS67" s="27"/>
      <c r="DT67" s="27"/>
      <c r="DU67" s="27"/>
      <c r="DV67" s="27"/>
      <c r="DW67" s="27"/>
      <c r="DX67" s="27"/>
      <c r="DY67" s="27"/>
      <c r="DZ67" s="27"/>
      <c r="EA67" s="27"/>
      <c r="EB67" s="27"/>
      <c r="EC67" s="27"/>
      <c r="ED67" s="27"/>
      <c r="EE67" s="27"/>
      <c r="EF67" s="27"/>
      <c r="EG67" s="27"/>
      <c r="EH67" s="27"/>
      <c r="EI67" s="27"/>
      <c r="EJ67" s="27"/>
      <c r="EK67" s="27"/>
      <c r="EL67" s="27"/>
      <c r="EM67" s="27"/>
      <c r="EN67" s="27"/>
      <c r="EO67" s="27"/>
      <c r="EP67" s="27"/>
      <c r="EQ67" s="27"/>
      <c r="ER67" s="27"/>
      <c r="ES67" s="27"/>
      <c r="ET67" s="27"/>
      <c r="EU67" s="27"/>
      <c r="EV67" s="27"/>
      <c r="EW67" s="27"/>
      <c r="EX67" s="27"/>
      <c r="EY67" s="27"/>
      <c r="EZ67" s="27"/>
    </row>
    <row r="69" spans="2:156">
      <c r="B69" s="2" t="s">
        <v>147</v>
      </c>
      <c r="E69" s="2">
        <f>IF(E62&lt;Assumptions!$E$9,1,0)</f>
        <v>1</v>
      </c>
      <c r="F69" s="2">
        <f>IF(F62&lt;Assumptions!$E$9,1,0)</f>
        <v>1</v>
      </c>
      <c r="G69" s="2">
        <f>IF(G62&lt;Assumptions!$E$9,1,0)</f>
        <v>1</v>
      </c>
      <c r="H69" s="2">
        <f>IF(H62&lt;Assumptions!$E$9,1,0)</f>
        <v>1</v>
      </c>
      <c r="I69" s="2">
        <f>IF(I62&lt;Assumptions!$E$9,1,0)</f>
        <v>1</v>
      </c>
      <c r="J69" s="2">
        <f>IF(J62&lt;Assumptions!$E$9,1,0)</f>
        <v>0</v>
      </c>
      <c r="K69" s="2">
        <f>IF(K62&lt;Assumptions!$E$9,1,0)</f>
        <v>0</v>
      </c>
      <c r="L69" s="2">
        <f>IF(L62&lt;Assumptions!$E$9,1,0)</f>
        <v>0</v>
      </c>
      <c r="M69" s="2">
        <f>IF(M62&lt;Assumptions!$E$9,1,0)</f>
        <v>0</v>
      </c>
      <c r="N69" s="2">
        <f>IF(N62&lt;Assumptions!$E$9,1,0)</f>
        <v>0</v>
      </c>
      <c r="O69" s="2">
        <f>IF(O62&lt;Assumptions!$E$9,1,0)</f>
        <v>0</v>
      </c>
      <c r="P69" s="2">
        <f>IF(P62&lt;Assumptions!$E$9,1,0)</f>
        <v>0</v>
      </c>
      <c r="Q69" s="2">
        <f>IF(Q62&lt;Assumptions!$E$9,1,0)</f>
        <v>0</v>
      </c>
      <c r="R69" s="2">
        <f>IF(R62&lt;Assumptions!$E$9,1,0)</f>
        <v>0</v>
      </c>
      <c r="S69" s="2">
        <f>IF(S62&lt;Assumptions!$E$9,1,0)</f>
        <v>0</v>
      </c>
      <c r="T69" s="2">
        <f>IF(T62&lt;Assumptions!$E$9,1,0)</f>
        <v>0</v>
      </c>
      <c r="U69" s="2">
        <f>IF(U62&lt;Assumptions!$E$9,1,0)</f>
        <v>0</v>
      </c>
      <c r="V69" s="2">
        <f>IF(V62&lt;Assumptions!$E$9,1,0)</f>
        <v>0</v>
      </c>
      <c r="W69" s="2">
        <f>IF(W62&lt;Assumptions!$E$9,1,0)</f>
        <v>0</v>
      </c>
      <c r="X69" s="2">
        <f>IF(X62&lt;Assumptions!$E$9,1,0)</f>
        <v>0</v>
      </c>
      <c r="Y69" s="2">
        <f>IF(Y62&lt;Assumptions!$E$9,1,0)</f>
        <v>0</v>
      </c>
      <c r="Z69" s="2">
        <f>IF(Z62&lt;Assumptions!$E$9,1,0)</f>
        <v>0</v>
      </c>
      <c r="AA69" s="2">
        <f>IF(AA62&lt;Assumptions!$E$9,1,0)</f>
        <v>0</v>
      </c>
      <c r="AB69" s="2">
        <f>IF(AB62&lt;Assumptions!$E$9,1,0)</f>
        <v>0</v>
      </c>
      <c r="AC69" s="2">
        <f>IF(AC62&lt;Assumptions!$E$9,1,0)</f>
        <v>0</v>
      </c>
      <c r="AD69" s="2">
        <f>IF(AD62&lt;Assumptions!$E$9,1,0)</f>
        <v>0</v>
      </c>
      <c r="AE69" s="2">
        <f>IF(AE62&lt;Assumptions!$E$9,1,0)</f>
        <v>0</v>
      </c>
      <c r="AF69" s="2">
        <f>IF(AF62&lt;Assumptions!$E$9,1,0)</f>
        <v>0</v>
      </c>
      <c r="AG69" s="2">
        <f>IF(AG62&lt;Assumptions!$E$9,1,0)</f>
        <v>0</v>
      </c>
      <c r="AH69" s="2">
        <f>IF(AH62&lt;Assumptions!$E$9,1,0)</f>
        <v>0</v>
      </c>
      <c r="AI69" s="2">
        <f>IF(AI62&lt;Assumptions!$E$9,1,0)</f>
        <v>0</v>
      </c>
      <c r="AJ69" s="2">
        <f>IF(AJ62&lt;Assumptions!$E$9,1,0)</f>
        <v>0</v>
      </c>
      <c r="AK69" s="2">
        <f>IF(AK62&lt;Assumptions!$E$9,1,0)</f>
        <v>0</v>
      </c>
      <c r="AL69" s="2">
        <f>IF(AL62&lt;Assumptions!$E$9,1,0)</f>
        <v>0</v>
      </c>
      <c r="AM69" s="2">
        <f>IF(AM62&lt;Assumptions!$E$9,1,0)</f>
        <v>0</v>
      </c>
      <c r="AN69" s="2">
        <f>IF(AN62&lt;Assumptions!$E$9,1,0)</f>
        <v>0</v>
      </c>
      <c r="AO69" s="2">
        <f>IF(AO62&lt;Assumptions!$E$9,1,0)</f>
        <v>0</v>
      </c>
      <c r="AP69" s="2">
        <f>IF(AP62&lt;Assumptions!$E$9,1,0)</f>
        <v>0</v>
      </c>
      <c r="AQ69" s="2">
        <f>IF(AQ62&lt;Assumptions!$E$9,1,0)</f>
        <v>0</v>
      </c>
      <c r="AR69" s="2">
        <f>IF(AR62&lt;Assumptions!$E$9,1,0)</f>
        <v>0</v>
      </c>
      <c r="AS69" s="2">
        <f>IF(AS62&lt;Assumptions!$E$9,1,0)</f>
        <v>0</v>
      </c>
      <c r="AT69" s="2">
        <f>IF(AT62&lt;Assumptions!$E$9,1,0)</f>
        <v>0</v>
      </c>
      <c r="AU69" s="2">
        <f>IF(AU62&lt;Assumptions!$E$9,1,0)</f>
        <v>0</v>
      </c>
      <c r="AV69" s="2">
        <f>IF(AV62&lt;Assumptions!$E$9,1,0)</f>
        <v>0</v>
      </c>
      <c r="AW69" s="2">
        <f>IF(AW62&lt;Assumptions!$E$9,1,0)</f>
        <v>0</v>
      </c>
      <c r="AX69" s="2">
        <f>IF(AX62&lt;Assumptions!$E$9,1,0)</f>
        <v>0</v>
      </c>
      <c r="AY69" s="2">
        <f>IF(AY62&lt;Assumptions!$E$9,1,0)</f>
        <v>0</v>
      </c>
      <c r="AZ69" s="2">
        <f>IF(AZ62&lt;Assumptions!$E$9,1,0)</f>
        <v>0</v>
      </c>
      <c r="BA69" s="2">
        <f>IF(BA62&lt;Assumptions!$E$9,1,0)</f>
        <v>0</v>
      </c>
      <c r="BB69" s="2">
        <f>IF(BB62&lt;Assumptions!$E$9,1,0)</f>
        <v>0</v>
      </c>
      <c r="BC69" s="2">
        <f>IF(BC62&lt;Assumptions!$E$9,1,0)</f>
        <v>0</v>
      </c>
      <c r="BD69" s="2">
        <f>IF(BD62&lt;Assumptions!$E$9,1,0)</f>
        <v>0</v>
      </c>
      <c r="BE69" s="2">
        <f>IF(BE62&lt;Assumptions!$E$9,1,0)</f>
        <v>0</v>
      </c>
      <c r="BF69" s="2">
        <f>IF(BF62&lt;Assumptions!$E$9,1,0)</f>
        <v>0</v>
      </c>
      <c r="BG69" s="2">
        <f>IF(BG62&lt;Assumptions!$E$9,1,0)</f>
        <v>0</v>
      </c>
      <c r="BH69" s="2">
        <f>IF(BH62&lt;Assumptions!$E$9,1,0)</f>
        <v>0</v>
      </c>
      <c r="BI69" s="2">
        <f>IF(BI62&lt;Assumptions!$E$9,1,0)</f>
        <v>0</v>
      </c>
      <c r="BJ69" s="2">
        <f>IF(BJ62&lt;Assumptions!$E$9,1,0)</f>
        <v>0</v>
      </c>
      <c r="BK69" s="2">
        <f>IF(BK62&lt;Assumptions!$E$9,1,0)</f>
        <v>0</v>
      </c>
      <c r="BL69" s="2">
        <f>IF(BL62&lt;Assumptions!$E$9,1,0)</f>
        <v>0</v>
      </c>
      <c r="BM69" s="2">
        <f>IF(BM62&lt;Assumptions!$E$9,1,0)</f>
        <v>0</v>
      </c>
      <c r="BN69" s="2">
        <f>IF(BN62&lt;Assumptions!$E$9,1,0)</f>
        <v>0</v>
      </c>
      <c r="BO69" s="2">
        <f>IF(BO62&lt;Assumptions!$E$9,1,0)</f>
        <v>0</v>
      </c>
      <c r="BP69" s="2">
        <f>IF(BP62&lt;Assumptions!$E$9,1,0)</f>
        <v>0</v>
      </c>
      <c r="BQ69" s="2">
        <f>IF(BQ62&lt;Assumptions!$E$9,1,0)</f>
        <v>0</v>
      </c>
      <c r="BR69" s="2">
        <f>IF(BR62&lt;Assumptions!$E$9,1,0)</f>
        <v>0</v>
      </c>
      <c r="BS69" s="2">
        <f>IF(BS62&lt;Assumptions!$E$9,1,0)</f>
        <v>0</v>
      </c>
      <c r="BT69" s="2">
        <f>IF(BT62&lt;Assumptions!$E$9,1,0)</f>
        <v>0</v>
      </c>
      <c r="BU69" s="2">
        <f>IF(BU62&lt;Assumptions!$E$9,1,0)</f>
        <v>0</v>
      </c>
      <c r="BV69" s="2">
        <f>IF(BV62&lt;Assumptions!$E$9,1,0)</f>
        <v>0</v>
      </c>
      <c r="BW69" s="2">
        <f>IF(BW62&lt;Assumptions!$E$9,1,0)</f>
        <v>0</v>
      </c>
      <c r="BX69" s="2">
        <f>IF(BX62&lt;Assumptions!$E$9,1,0)</f>
        <v>0</v>
      </c>
      <c r="BY69" s="2">
        <f>IF(BY62&lt;Assumptions!$E$9,1,0)</f>
        <v>0</v>
      </c>
      <c r="BZ69" s="2">
        <f>IF(BZ62&lt;Assumptions!$E$9,1,0)</f>
        <v>0</v>
      </c>
      <c r="CA69" s="2">
        <f>IF(CA62&lt;Assumptions!$E$9,1,0)</f>
        <v>0</v>
      </c>
      <c r="CB69" s="2">
        <f>IF(CB62&lt;Assumptions!$E$9,1,0)</f>
        <v>0</v>
      </c>
      <c r="CC69" s="2">
        <f>IF(CC62&lt;Assumptions!$E$9,1,0)</f>
        <v>0</v>
      </c>
      <c r="CD69" s="2">
        <f>IF(CD62&lt;Assumptions!$E$9,1,0)</f>
        <v>0</v>
      </c>
      <c r="CE69" s="2">
        <f>IF(CE62&lt;Assumptions!$E$9,1,0)</f>
        <v>0</v>
      </c>
      <c r="CF69" s="2">
        <f>IF(CF62&lt;Assumptions!$E$9,1,0)</f>
        <v>0</v>
      </c>
      <c r="CG69" s="2">
        <f>IF(CG62&lt;Assumptions!$E$9,1,0)</f>
        <v>0</v>
      </c>
      <c r="CH69" s="2">
        <f>IF(CH62&lt;Assumptions!$E$9,1,0)</f>
        <v>0</v>
      </c>
      <c r="CI69" s="2">
        <f>IF(CI62&lt;Assumptions!$E$9,1,0)</f>
        <v>0</v>
      </c>
      <c r="CJ69" s="2">
        <f>IF(CJ62&lt;Assumptions!$E$9,1,0)</f>
        <v>0</v>
      </c>
      <c r="CK69" s="2">
        <f>IF(CK62&lt;Assumptions!$E$9,1,0)</f>
        <v>0</v>
      </c>
      <c r="CL69" s="2">
        <f>IF(CL62&lt;Assumptions!$E$9,1,0)</f>
        <v>0</v>
      </c>
      <c r="CM69" s="2">
        <f>IF(CM62&lt;Assumptions!$E$9,1,0)</f>
        <v>0</v>
      </c>
      <c r="CN69" s="2">
        <f>IF(CN62&lt;Assumptions!$E$9,1,0)</f>
        <v>0</v>
      </c>
      <c r="CO69" s="2">
        <f>IF(CO62&lt;Assumptions!$E$9,1,0)</f>
        <v>0</v>
      </c>
      <c r="CP69" s="2">
        <f>IF(CP62&lt;Assumptions!$E$9,1,0)</f>
        <v>0</v>
      </c>
      <c r="CQ69" s="2">
        <f>IF(CQ62&lt;Assumptions!$E$9,1,0)</f>
        <v>0</v>
      </c>
      <c r="CR69" s="2">
        <f>IF(CR62&lt;Assumptions!$E$9,1,0)</f>
        <v>0</v>
      </c>
      <c r="CS69" s="2">
        <f>IF(CS62&lt;Assumptions!$E$9,1,0)</f>
        <v>0</v>
      </c>
      <c r="CT69" s="2">
        <f>IF(CT62&lt;Assumptions!$E$9,1,0)</f>
        <v>0</v>
      </c>
      <c r="CU69" s="2">
        <f>IF(CU62&lt;Assumptions!$E$9,1,0)</f>
        <v>0</v>
      </c>
      <c r="CV69" s="2">
        <f>IF(CV62&lt;Assumptions!$E$9,1,0)</f>
        <v>0</v>
      </c>
      <c r="CW69" s="2">
        <f>IF(CW62&lt;Assumptions!$E$9,1,0)</f>
        <v>0</v>
      </c>
      <c r="CX69" s="2">
        <f>IF(CX62&lt;Assumptions!$E$9,1,0)</f>
        <v>0</v>
      </c>
      <c r="CY69" s="2">
        <f>IF(CY62&lt;Assumptions!$E$9,1,0)</f>
        <v>0</v>
      </c>
      <c r="CZ69" s="2">
        <f>IF(CZ62&lt;Assumptions!$E$9,1,0)</f>
        <v>0</v>
      </c>
      <c r="DA69" s="2">
        <f>IF(DA62&lt;Assumptions!$E$9,1,0)</f>
        <v>0</v>
      </c>
      <c r="DB69" s="2">
        <f>IF(DB62&lt;Assumptions!$E$9,1,0)</f>
        <v>0</v>
      </c>
      <c r="DC69" s="2">
        <f>IF(DC62&lt;Assumptions!$E$9,1,0)</f>
        <v>0</v>
      </c>
      <c r="DD69" s="2">
        <f>IF(DD62&lt;Assumptions!$E$9,1,0)</f>
        <v>0</v>
      </c>
      <c r="DE69" s="2">
        <f>IF(DE62&lt;Assumptions!$E$9,1,0)</f>
        <v>0</v>
      </c>
      <c r="DF69" s="2">
        <f>IF(DF62&lt;Assumptions!$E$9,1,0)</f>
        <v>0</v>
      </c>
      <c r="DG69" s="2">
        <f>IF(DG62&lt;Assumptions!$E$9,1,0)</f>
        <v>0</v>
      </c>
      <c r="DH69" s="2">
        <f>IF(DH62&lt;Assumptions!$E$9,1,0)</f>
        <v>0</v>
      </c>
      <c r="DI69" s="2">
        <f>IF(DI62&lt;Assumptions!$E$9,1,0)</f>
        <v>0</v>
      </c>
      <c r="DJ69" s="2">
        <f>IF(DJ62&lt;Assumptions!$E$9,1,0)</f>
        <v>0</v>
      </c>
      <c r="DK69" s="2">
        <f>IF(DK62&lt;Assumptions!$E$9,1,0)</f>
        <v>0</v>
      </c>
      <c r="DL69" s="2">
        <f>IF(DL62&lt;Assumptions!$E$9,1,0)</f>
        <v>0</v>
      </c>
      <c r="DM69" s="2">
        <f>IF(DM62&lt;Assumptions!$E$9,1,0)</f>
        <v>0</v>
      </c>
      <c r="DN69" s="2">
        <f>IF(DN62&lt;Assumptions!$E$9,1,0)</f>
        <v>0</v>
      </c>
      <c r="DO69" s="2">
        <f>IF(DO62&lt;Assumptions!$E$9,1,0)</f>
        <v>0</v>
      </c>
      <c r="DP69" s="2">
        <f>IF(DP62&lt;Assumptions!$E$9,1,0)</f>
        <v>0</v>
      </c>
    </row>
    <row r="70" spans="2:156">
      <c r="B70" s="2" t="s">
        <v>45</v>
      </c>
      <c r="C70" s="152">
        <f>Assumptions!$E$43</f>
        <v>0.1</v>
      </c>
      <c r="E70" s="89">
        <f>AVERAGE(E64,E67)*$C$70/12</f>
        <v>0.11979166666666667</v>
      </c>
      <c r="F70" s="89">
        <f t="shared" ref="F70:BQ70" si="67">AVERAGE(F64,F67)*$C$70/12</f>
        <v>0.40729166666666666</v>
      </c>
      <c r="G70" s="89">
        <f t="shared" si="67"/>
        <v>0.62291666666666667</v>
      </c>
      <c r="H70" s="89">
        <f t="shared" si="67"/>
        <v>0.7522916666666668</v>
      </c>
      <c r="I70" s="89">
        <f t="shared" si="67"/>
        <v>0.89604166666666674</v>
      </c>
      <c r="J70" s="89">
        <f t="shared" si="67"/>
        <v>0.95833333333333337</v>
      </c>
      <c r="K70" s="89">
        <f t="shared" si="67"/>
        <v>0.95833333333333337</v>
      </c>
      <c r="L70" s="89">
        <f t="shared" si="67"/>
        <v>0.95833333333333337</v>
      </c>
      <c r="M70" s="89">
        <f t="shared" si="67"/>
        <v>0.95833333333333337</v>
      </c>
      <c r="N70" s="89">
        <f t="shared" si="67"/>
        <v>0.95833333333333337</v>
      </c>
      <c r="O70" s="89">
        <f t="shared" si="67"/>
        <v>0.95833333333333337</v>
      </c>
      <c r="P70" s="89">
        <f t="shared" si="67"/>
        <v>0.95334201388888884</v>
      </c>
      <c r="Q70" s="89">
        <f t="shared" si="67"/>
        <v>0.943359375</v>
      </c>
      <c r="R70" s="89">
        <f t="shared" si="67"/>
        <v>0.93337673611111105</v>
      </c>
      <c r="S70" s="89">
        <f t="shared" si="67"/>
        <v>0.92339409722222221</v>
      </c>
      <c r="T70" s="89">
        <f t="shared" si="67"/>
        <v>0.91341145833333315</v>
      </c>
      <c r="U70" s="89">
        <f t="shared" si="67"/>
        <v>0.90342881944444431</v>
      </c>
      <c r="V70" s="89">
        <f t="shared" si="67"/>
        <v>0.89344618055555536</v>
      </c>
      <c r="W70" s="89">
        <f t="shared" si="67"/>
        <v>0.88346354166666652</v>
      </c>
      <c r="X70" s="89">
        <f t="shared" si="67"/>
        <v>0.87348090277777735</v>
      </c>
      <c r="Y70" s="89">
        <f t="shared" si="67"/>
        <v>0.86349826388888873</v>
      </c>
      <c r="Z70" s="89">
        <f t="shared" si="67"/>
        <v>0.85351562499999956</v>
      </c>
      <c r="AA70" s="89">
        <f t="shared" si="67"/>
        <v>0.84353298611111072</v>
      </c>
      <c r="AB70" s="89">
        <f t="shared" si="67"/>
        <v>0.83355034722222177</v>
      </c>
      <c r="AC70" s="89">
        <f t="shared" si="67"/>
        <v>0.82356770833333293</v>
      </c>
      <c r="AD70" s="89">
        <f t="shared" si="67"/>
        <v>0.81358506944444386</v>
      </c>
      <c r="AE70" s="89">
        <f t="shared" si="67"/>
        <v>0.80360243055555503</v>
      </c>
      <c r="AF70" s="89">
        <f t="shared" si="67"/>
        <v>0.79361979166666596</v>
      </c>
      <c r="AG70" s="89">
        <f t="shared" si="67"/>
        <v>0.78363715277777724</v>
      </c>
      <c r="AH70" s="89">
        <f t="shared" si="67"/>
        <v>0.77365451388888806</v>
      </c>
      <c r="AI70" s="89">
        <f t="shared" si="67"/>
        <v>0.76367187499999922</v>
      </c>
      <c r="AJ70" s="89">
        <f t="shared" si="67"/>
        <v>0.75368923611111027</v>
      </c>
      <c r="AK70" s="89">
        <f t="shared" si="67"/>
        <v>0.74370659722222143</v>
      </c>
      <c r="AL70" s="89">
        <f t="shared" si="67"/>
        <v>0.73372395833333248</v>
      </c>
      <c r="AM70" s="89">
        <f t="shared" si="67"/>
        <v>0.72374131944444364</v>
      </c>
      <c r="AN70" s="89">
        <f t="shared" si="67"/>
        <v>0.71375868055555458</v>
      </c>
      <c r="AO70" s="89">
        <f t="shared" si="67"/>
        <v>0.70377604166666574</v>
      </c>
      <c r="AP70" s="89">
        <f t="shared" si="67"/>
        <v>0.69379340277777668</v>
      </c>
      <c r="AQ70" s="89">
        <f t="shared" si="67"/>
        <v>0.68381076388888795</v>
      </c>
      <c r="AR70" s="89">
        <f t="shared" si="67"/>
        <v>0.67382812499999878</v>
      </c>
      <c r="AS70" s="89">
        <f t="shared" si="67"/>
        <v>0.66384548611111005</v>
      </c>
      <c r="AT70" s="89">
        <f t="shared" si="67"/>
        <v>0.65386284722222099</v>
      </c>
      <c r="AU70" s="89">
        <f t="shared" si="67"/>
        <v>0.64388020833333215</v>
      </c>
      <c r="AV70" s="89">
        <f t="shared" si="67"/>
        <v>0.6338975694444432</v>
      </c>
      <c r="AW70" s="89">
        <f t="shared" si="67"/>
        <v>0.62391493055555436</v>
      </c>
      <c r="AX70" s="89">
        <f t="shared" si="67"/>
        <v>0.6139322916666653</v>
      </c>
      <c r="AY70" s="89">
        <f t="shared" si="67"/>
        <v>0.60394965277777646</v>
      </c>
      <c r="AZ70" s="89">
        <f t="shared" si="67"/>
        <v>0.5939670138888874</v>
      </c>
      <c r="BA70" s="89">
        <f t="shared" si="67"/>
        <v>0.58398437499999856</v>
      </c>
      <c r="BB70" s="89">
        <f t="shared" si="67"/>
        <v>0.5740017361111095</v>
      </c>
      <c r="BC70" s="89">
        <f t="shared" si="67"/>
        <v>0.56401909722222077</v>
      </c>
      <c r="BD70" s="89">
        <f t="shared" si="67"/>
        <v>0.55403645833333171</v>
      </c>
      <c r="BE70" s="89">
        <f t="shared" si="67"/>
        <v>0.54405381944444287</v>
      </c>
      <c r="BF70" s="89">
        <f t="shared" si="67"/>
        <v>0.53407118055555391</v>
      </c>
      <c r="BG70" s="89">
        <f t="shared" si="67"/>
        <v>0.52408854166666508</v>
      </c>
      <c r="BH70" s="89">
        <f t="shared" si="67"/>
        <v>0.51410590277777624</v>
      </c>
      <c r="BI70" s="89">
        <f t="shared" si="67"/>
        <v>0.50412326388888729</v>
      </c>
      <c r="BJ70" s="89">
        <f t="shared" si="67"/>
        <v>0.4941406249999985</v>
      </c>
      <c r="BK70" s="89">
        <f t="shared" si="67"/>
        <v>0.48415798611110955</v>
      </c>
      <c r="BL70" s="89">
        <f t="shared" si="67"/>
        <v>0.47417534722222077</v>
      </c>
      <c r="BM70" s="89">
        <f t="shared" si="67"/>
        <v>0.46419270833333187</v>
      </c>
      <c r="BN70" s="89">
        <f t="shared" si="67"/>
        <v>0.45421006944444303</v>
      </c>
      <c r="BO70" s="89">
        <f t="shared" si="67"/>
        <v>0.44422743055555408</v>
      </c>
      <c r="BP70" s="89">
        <f t="shared" si="67"/>
        <v>0.43424479166666524</v>
      </c>
      <c r="BQ70" s="89">
        <f t="shared" si="67"/>
        <v>0.42426215277777635</v>
      </c>
      <c r="BR70" s="89">
        <f t="shared" ref="BR70:DP70" si="68">AVERAGE(BR64,BR67)*$C$70/12</f>
        <v>0.41427951388888751</v>
      </c>
      <c r="BS70" s="89">
        <f t="shared" si="68"/>
        <v>0.40429687499999861</v>
      </c>
      <c r="BT70" s="89">
        <f t="shared" si="68"/>
        <v>0.39431423611110977</v>
      </c>
      <c r="BU70" s="89">
        <f t="shared" si="68"/>
        <v>0.38433159722222082</v>
      </c>
      <c r="BV70" s="89">
        <f t="shared" si="68"/>
        <v>0.37434895833333209</v>
      </c>
      <c r="BW70" s="89">
        <f t="shared" si="68"/>
        <v>0.36436631944444309</v>
      </c>
      <c r="BX70" s="89">
        <f t="shared" si="68"/>
        <v>0.3543836805555543</v>
      </c>
      <c r="BY70" s="89">
        <f t="shared" si="68"/>
        <v>0.34440104166666541</v>
      </c>
      <c r="BZ70" s="89">
        <f t="shared" si="68"/>
        <v>0.33441840277777657</v>
      </c>
      <c r="CA70" s="89">
        <f t="shared" si="68"/>
        <v>0.32443576388888767</v>
      </c>
      <c r="CB70" s="89">
        <f t="shared" si="68"/>
        <v>0.31445312499999883</v>
      </c>
      <c r="CC70" s="89">
        <f t="shared" si="68"/>
        <v>0.30447048611110988</v>
      </c>
      <c r="CD70" s="89">
        <f t="shared" si="68"/>
        <v>0.2944878472222211</v>
      </c>
      <c r="CE70" s="89">
        <f t="shared" si="68"/>
        <v>0.28450520833333215</v>
      </c>
      <c r="CF70" s="89">
        <f t="shared" si="68"/>
        <v>0.27452256944444337</v>
      </c>
      <c r="CG70" s="89">
        <f t="shared" si="68"/>
        <v>0.26453993055555441</v>
      </c>
      <c r="CH70" s="89">
        <f t="shared" si="68"/>
        <v>0.25455729166666557</v>
      </c>
      <c r="CI70" s="89">
        <f t="shared" si="68"/>
        <v>0.24457465277777665</v>
      </c>
      <c r="CJ70" s="89">
        <f t="shared" si="68"/>
        <v>0.23459201388888776</v>
      </c>
      <c r="CK70" s="89">
        <f t="shared" si="68"/>
        <v>0.22460937499999881</v>
      </c>
      <c r="CL70" s="89">
        <f t="shared" si="68"/>
        <v>0.21462673611110997</v>
      </c>
      <c r="CM70" s="89">
        <f t="shared" si="68"/>
        <v>0.20464409722222102</v>
      </c>
      <c r="CN70" s="89">
        <f t="shared" si="68"/>
        <v>0.19466145833333215</v>
      </c>
      <c r="CO70" s="89">
        <f t="shared" si="68"/>
        <v>0.18467881944444323</v>
      </c>
      <c r="CP70" s="89">
        <f t="shared" si="68"/>
        <v>0.17469618055555436</v>
      </c>
      <c r="CQ70" s="89">
        <f t="shared" si="68"/>
        <v>0.16471354166666544</v>
      </c>
      <c r="CR70" s="89">
        <f t="shared" si="68"/>
        <v>0.15473090277777657</v>
      </c>
      <c r="CS70" s="89">
        <f t="shared" si="68"/>
        <v>0.14474826388888765</v>
      </c>
      <c r="CT70" s="89">
        <f t="shared" si="68"/>
        <v>0.13476562499999875</v>
      </c>
      <c r="CU70" s="89">
        <f t="shared" si="68"/>
        <v>0.12478298611110987</v>
      </c>
      <c r="CV70" s="89">
        <f t="shared" si="68"/>
        <v>0.11480034722222099</v>
      </c>
      <c r="CW70" s="89">
        <f t="shared" si="68"/>
        <v>0.10481770833333209</v>
      </c>
      <c r="CX70" s="89">
        <f t="shared" si="68"/>
        <v>9.4835069444443212E-2</v>
      </c>
      <c r="CY70" s="89">
        <f t="shared" si="68"/>
        <v>8.4852430555554317E-2</v>
      </c>
      <c r="CZ70" s="89">
        <f t="shared" si="68"/>
        <v>7.486979166666545E-2</v>
      </c>
      <c r="DA70" s="89">
        <f t="shared" si="68"/>
        <v>6.4887152777776569E-2</v>
      </c>
      <c r="DB70" s="89">
        <f t="shared" si="68"/>
        <v>5.4904513888887681E-2</v>
      </c>
      <c r="DC70" s="89">
        <f t="shared" si="68"/>
        <v>4.49218749999988E-2</v>
      </c>
      <c r="DD70" s="89">
        <f t="shared" si="68"/>
        <v>3.4939236111109911E-2</v>
      </c>
      <c r="DE70" s="89">
        <f t="shared" si="68"/>
        <v>2.495659722222102E-2</v>
      </c>
      <c r="DF70" s="89">
        <f t="shared" si="68"/>
        <v>1.4973958333332133E-2</v>
      </c>
      <c r="DG70" s="89">
        <f t="shared" si="68"/>
        <v>4.9913194444432445E-3</v>
      </c>
      <c r="DH70" s="89">
        <f t="shared" si="68"/>
        <v>-1.1990408665951689E-15</v>
      </c>
      <c r="DI70" s="89">
        <f t="shared" si="68"/>
        <v>-1.1990408665951689E-15</v>
      </c>
      <c r="DJ70" s="89">
        <f t="shared" si="68"/>
        <v>-1.1990408665951689E-15</v>
      </c>
      <c r="DK70" s="89">
        <f t="shared" si="68"/>
        <v>-1.1990408665951689E-15</v>
      </c>
      <c r="DL70" s="89">
        <f t="shared" si="68"/>
        <v>-1.1990408665951689E-15</v>
      </c>
      <c r="DM70" s="89">
        <f t="shared" si="68"/>
        <v>-1.1990408665951689E-15</v>
      </c>
      <c r="DN70" s="89">
        <f t="shared" si="68"/>
        <v>-1.1990408665951689E-15</v>
      </c>
      <c r="DO70" s="89">
        <f t="shared" si="68"/>
        <v>-1.1990408665951689E-15</v>
      </c>
      <c r="DP70" s="89">
        <f t="shared" si="68"/>
        <v>-1.1990408665951689E-15</v>
      </c>
      <c r="DQ70" s="89"/>
      <c r="DR70" s="89"/>
      <c r="DS70" s="89"/>
      <c r="DT70" s="89"/>
      <c r="DU70" s="89"/>
      <c r="DV70" s="89"/>
      <c r="DW70" s="89"/>
      <c r="DX70" s="89"/>
      <c r="DY70" s="89"/>
      <c r="DZ70" s="89"/>
      <c r="EA70" s="89"/>
      <c r="EB70" s="89"/>
      <c r="EC70" s="89"/>
      <c r="ED70" s="89"/>
      <c r="EE70" s="89"/>
      <c r="EF70" s="89"/>
      <c r="EG70" s="89"/>
      <c r="EH70" s="89"/>
      <c r="EI70" s="89"/>
      <c r="EJ70" s="89"/>
      <c r="EK70" s="89"/>
      <c r="EL70" s="89"/>
      <c r="EM70" s="89"/>
      <c r="EN70" s="89"/>
      <c r="EO70" s="89"/>
      <c r="EP70" s="89"/>
      <c r="EQ70" s="89"/>
      <c r="ER70" s="89"/>
      <c r="ES70" s="89"/>
      <c r="ET70" s="89"/>
      <c r="EU70" s="89"/>
      <c r="EV70" s="89"/>
      <c r="EW70" s="89"/>
      <c r="EX70" s="89"/>
      <c r="EY70" s="89"/>
      <c r="EZ70" s="89"/>
    </row>
    <row r="71" spans="2:156">
      <c r="B71" s="2" t="s">
        <v>137</v>
      </c>
      <c r="C71" s="27">
        <f>SUM(E71:EZ71)</f>
        <v>2.7983333333333333</v>
      </c>
      <c r="E71" s="89">
        <f>IF(E69=1,E70,0)</f>
        <v>0.11979166666666667</v>
      </c>
      <c r="F71" s="89">
        <f t="shared" ref="F71:J71" si="69">IF(F69=1,F70,0)</f>
        <v>0.40729166666666666</v>
      </c>
      <c r="G71" s="89">
        <f t="shared" si="69"/>
        <v>0.62291666666666667</v>
      </c>
      <c r="H71" s="89">
        <f t="shared" si="69"/>
        <v>0.7522916666666668</v>
      </c>
      <c r="I71" s="89">
        <f t="shared" si="69"/>
        <v>0.89604166666666674</v>
      </c>
      <c r="J71" s="89">
        <f t="shared" si="69"/>
        <v>0</v>
      </c>
      <c r="K71" s="89">
        <f t="shared" ref="K71" si="70">IF(K69=1,K70,0)</f>
        <v>0</v>
      </c>
      <c r="L71" s="89">
        <f t="shared" ref="L71" si="71">IF(L69=1,L70,0)</f>
        <v>0</v>
      </c>
      <c r="M71" s="89">
        <f t="shared" ref="M71" si="72">IF(M69=1,M70,0)</f>
        <v>0</v>
      </c>
      <c r="N71" s="89">
        <f t="shared" ref="N71" si="73">IF(N69=1,N70,0)</f>
        <v>0</v>
      </c>
      <c r="O71" s="89">
        <f t="shared" ref="O71" si="74">IF(O69=1,O70,0)</f>
        <v>0</v>
      </c>
      <c r="P71" s="89">
        <f t="shared" ref="P71" si="75">IF(P69=1,P70,0)</f>
        <v>0</v>
      </c>
      <c r="Q71" s="89">
        <f t="shared" ref="Q71" si="76">IF(Q69=1,Q70,0)</f>
        <v>0</v>
      </c>
      <c r="R71" s="89">
        <f t="shared" ref="R71" si="77">IF(R69=1,R70,0)</f>
        <v>0</v>
      </c>
      <c r="S71" s="89">
        <f t="shared" ref="S71" si="78">IF(S69=1,S70,0)</f>
        <v>0</v>
      </c>
      <c r="T71" s="89">
        <f t="shared" ref="T71" si="79">IF(T69=1,T70,0)</f>
        <v>0</v>
      </c>
      <c r="U71" s="89">
        <f t="shared" ref="U71" si="80">IF(U69=1,U70,0)</f>
        <v>0</v>
      </c>
      <c r="V71" s="89">
        <f t="shared" ref="V71" si="81">IF(V69=1,V70,0)</f>
        <v>0</v>
      </c>
      <c r="W71" s="89">
        <f t="shared" ref="W71" si="82">IF(W69=1,W70,0)</f>
        <v>0</v>
      </c>
      <c r="X71" s="89">
        <f t="shared" ref="X71" si="83">IF(X69=1,X70,0)</f>
        <v>0</v>
      </c>
      <c r="Y71" s="89">
        <f t="shared" ref="Y71" si="84">IF(Y69=1,Y70,0)</f>
        <v>0</v>
      </c>
      <c r="Z71" s="89">
        <f t="shared" ref="Z71" si="85">IF(Z69=1,Z70,0)</f>
        <v>0</v>
      </c>
      <c r="AA71" s="89">
        <f t="shared" ref="AA71" si="86">IF(AA69=1,AA70,0)</f>
        <v>0</v>
      </c>
      <c r="AB71" s="89">
        <f t="shared" ref="AB71" si="87">IF(AB69=1,AB70,0)</f>
        <v>0</v>
      </c>
      <c r="AC71" s="89">
        <f t="shared" ref="AC71" si="88">IF(AC69=1,AC70,0)</f>
        <v>0</v>
      </c>
      <c r="AD71" s="89">
        <f t="shared" ref="AD71" si="89">IF(AD69=1,AD70,0)</f>
        <v>0</v>
      </c>
      <c r="AE71" s="89">
        <f t="shared" ref="AE71" si="90">IF(AE69=1,AE70,0)</f>
        <v>0</v>
      </c>
      <c r="AF71" s="89">
        <f t="shared" ref="AF71" si="91">IF(AF69=1,AF70,0)</f>
        <v>0</v>
      </c>
      <c r="AG71" s="89">
        <f t="shared" ref="AG71" si="92">IF(AG69=1,AG70,0)</f>
        <v>0</v>
      </c>
      <c r="AH71" s="89">
        <f t="shared" ref="AH71" si="93">IF(AH69=1,AH70,0)</f>
        <v>0</v>
      </c>
      <c r="AI71" s="89">
        <f t="shared" ref="AI71" si="94">IF(AI69=1,AI70,0)</f>
        <v>0</v>
      </c>
      <c r="AJ71" s="89">
        <f t="shared" ref="AJ71" si="95">IF(AJ69=1,AJ70,0)</f>
        <v>0</v>
      </c>
      <c r="AK71" s="89">
        <f t="shared" ref="AK71" si="96">IF(AK69=1,AK70,0)</f>
        <v>0</v>
      </c>
      <c r="AL71" s="89">
        <f t="shared" ref="AL71" si="97">IF(AL69=1,AL70,0)</f>
        <v>0</v>
      </c>
      <c r="AM71" s="89">
        <f t="shared" ref="AM71" si="98">IF(AM69=1,AM70,0)</f>
        <v>0</v>
      </c>
      <c r="AN71" s="89">
        <f t="shared" ref="AN71" si="99">IF(AN69=1,AN70,0)</f>
        <v>0</v>
      </c>
      <c r="AO71" s="89">
        <f t="shared" ref="AO71" si="100">IF(AO69=1,AO70,0)</f>
        <v>0</v>
      </c>
      <c r="AP71" s="89">
        <f t="shared" ref="AP71" si="101">IF(AP69=1,AP70,0)</f>
        <v>0</v>
      </c>
      <c r="AQ71" s="89">
        <f t="shared" ref="AQ71" si="102">IF(AQ69=1,AQ70,0)</f>
        <v>0</v>
      </c>
      <c r="AR71" s="89">
        <f t="shared" ref="AR71" si="103">IF(AR69=1,AR70,0)</f>
        <v>0</v>
      </c>
      <c r="AS71" s="89">
        <f t="shared" ref="AS71" si="104">IF(AS69=1,AS70,0)</f>
        <v>0</v>
      </c>
      <c r="AT71" s="89">
        <f t="shared" ref="AT71" si="105">IF(AT69=1,AT70,0)</f>
        <v>0</v>
      </c>
      <c r="AU71" s="89">
        <f t="shared" ref="AU71" si="106">IF(AU69=1,AU70,0)</f>
        <v>0</v>
      </c>
      <c r="AV71" s="89">
        <f t="shared" ref="AV71" si="107">IF(AV69=1,AV70,0)</f>
        <v>0</v>
      </c>
      <c r="AW71" s="89">
        <f t="shared" ref="AW71" si="108">IF(AW69=1,AW70,0)</f>
        <v>0</v>
      </c>
      <c r="AX71" s="89">
        <f t="shared" ref="AX71" si="109">IF(AX69=1,AX70,0)</f>
        <v>0</v>
      </c>
      <c r="AY71" s="89">
        <f t="shared" ref="AY71" si="110">IF(AY69=1,AY70,0)</f>
        <v>0</v>
      </c>
      <c r="AZ71" s="89">
        <f t="shared" ref="AZ71" si="111">IF(AZ69=1,AZ70,0)</f>
        <v>0</v>
      </c>
      <c r="BA71" s="89">
        <f t="shared" ref="BA71" si="112">IF(BA69=1,BA70,0)</f>
        <v>0</v>
      </c>
      <c r="BB71" s="89">
        <f t="shared" ref="BB71" si="113">IF(BB69=1,BB70,0)</f>
        <v>0</v>
      </c>
      <c r="BC71" s="89">
        <f t="shared" ref="BC71" si="114">IF(BC69=1,BC70,0)</f>
        <v>0</v>
      </c>
      <c r="BD71" s="89">
        <f t="shared" ref="BD71" si="115">IF(BD69=1,BD70,0)</f>
        <v>0</v>
      </c>
      <c r="BE71" s="89">
        <f t="shared" ref="BE71" si="116">IF(BE69=1,BE70,0)</f>
        <v>0</v>
      </c>
      <c r="BF71" s="89">
        <f t="shared" ref="BF71" si="117">IF(BF69=1,BF70,0)</f>
        <v>0</v>
      </c>
      <c r="BG71" s="89">
        <f t="shared" ref="BG71" si="118">IF(BG69=1,BG70,0)</f>
        <v>0</v>
      </c>
      <c r="BH71" s="89">
        <f t="shared" ref="BH71" si="119">IF(BH69=1,BH70,0)</f>
        <v>0</v>
      </c>
      <c r="BI71" s="89">
        <f t="shared" ref="BI71" si="120">IF(BI69=1,BI70,0)</f>
        <v>0</v>
      </c>
      <c r="BJ71" s="89">
        <f t="shared" ref="BJ71" si="121">IF(BJ69=1,BJ70,0)</f>
        <v>0</v>
      </c>
      <c r="BK71" s="89">
        <f t="shared" ref="BK71" si="122">IF(BK69=1,BK70,0)</f>
        <v>0</v>
      </c>
      <c r="BL71" s="89">
        <f t="shared" ref="BL71" si="123">IF(BL69=1,BL70,0)</f>
        <v>0</v>
      </c>
      <c r="BM71" s="89">
        <f t="shared" ref="BM71" si="124">IF(BM69=1,BM70,0)</f>
        <v>0</v>
      </c>
      <c r="BN71" s="89">
        <f t="shared" ref="BN71" si="125">IF(BN69=1,BN70,0)</f>
        <v>0</v>
      </c>
      <c r="BO71" s="89">
        <f t="shared" ref="BO71" si="126">IF(BO69=1,BO70,0)</f>
        <v>0</v>
      </c>
      <c r="BP71" s="89">
        <f t="shared" ref="BP71" si="127">IF(BP69=1,BP70,0)</f>
        <v>0</v>
      </c>
      <c r="BQ71" s="89">
        <f t="shared" ref="BQ71" si="128">IF(BQ69=1,BQ70,0)</f>
        <v>0</v>
      </c>
      <c r="BR71" s="89">
        <f t="shared" ref="BR71" si="129">IF(BR69=1,BR70,0)</f>
        <v>0</v>
      </c>
      <c r="BS71" s="89">
        <f t="shared" ref="BS71" si="130">IF(BS69=1,BS70,0)</f>
        <v>0</v>
      </c>
      <c r="BT71" s="89">
        <f t="shared" ref="BT71" si="131">IF(BT69=1,BT70,0)</f>
        <v>0</v>
      </c>
      <c r="BU71" s="89">
        <f t="shared" ref="BU71" si="132">IF(BU69=1,BU70,0)</f>
        <v>0</v>
      </c>
      <c r="BV71" s="89">
        <f t="shared" ref="BV71" si="133">IF(BV69=1,BV70,0)</f>
        <v>0</v>
      </c>
      <c r="BW71" s="89">
        <f t="shared" ref="BW71" si="134">IF(BW69=1,BW70,0)</f>
        <v>0</v>
      </c>
      <c r="BX71" s="89">
        <f t="shared" ref="BX71" si="135">IF(BX69=1,BX70,0)</f>
        <v>0</v>
      </c>
      <c r="BY71" s="89">
        <f t="shared" ref="BY71" si="136">IF(BY69=1,BY70,0)</f>
        <v>0</v>
      </c>
      <c r="BZ71" s="89">
        <f t="shared" ref="BZ71" si="137">IF(BZ69=1,BZ70,0)</f>
        <v>0</v>
      </c>
      <c r="CA71" s="89">
        <f t="shared" ref="CA71" si="138">IF(CA69=1,CA70,0)</f>
        <v>0</v>
      </c>
      <c r="CB71" s="89">
        <f t="shared" ref="CB71" si="139">IF(CB69=1,CB70,0)</f>
        <v>0</v>
      </c>
      <c r="CC71" s="89">
        <f t="shared" ref="CC71" si="140">IF(CC69=1,CC70,0)</f>
        <v>0</v>
      </c>
      <c r="CD71" s="89">
        <f t="shared" ref="CD71" si="141">IF(CD69=1,CD70,0)</f>
        <v>0</v>
      </c>
      <c r="CE71" s="89">
        <f t="shared" ref="CE71" si="142">IF(CE69=1,CE70,0)</f>
        <v>0</v>
      </c>
      <c r="CF71" s="89">
        <f t="shared" ref="CF71" si="143">IF(CF69=1,CF70,0)</f>
        <v>0</v>
      </c>
      <c r="CG71" s="89">
        <f t="shared" ref="CG71" si="144">IF(CG69=1,CG70,0)</f>
        <v>0</v>
      </c>
      <c r="CH71" s="89">
        <f t="shared" ref="CH71" si="145">IF(CH69=1,CH70,0)</f>
        <v>0</v>
      </c>
      <c r="CI71" s="89">
        <f t="shared" ref="CI71" si="146">IF(CI69=1,CI70,0)</f>
        <v>0</v>
      </c>
      <c r="CJ71" s="89">
        <f t="shared" ref="CJ71" si="147">IF(CJ69=1,CJ70,0)</f>
        <v>0</v>
      </c>
      <c r="CK71" s="89">
        <f t="shared" ref="CK71" si="148">IF(CK69=1,CK70,0)</f>
        <v>0</v>
      </c>
      <c r="CL71" s="89">
        <f t="shared" ref="CL71" si="149">IF(CL69=1,CL70,0)</f>
        <v>0</v>
      </c>
      <c r="CM71" s="89">
        <f t="shared" ref="CM71" si="150">IF(CM69=1,CM70,0)</f>
        <v>0</v>
      </c>
      <c r="CN71" s="89">
        <f t="shared" ref="CN71" si="151">IF(CN69=1,CN70,0)</f>
        <v>0</v>
      </c>
      <c r="CO71" s="89">
        <f t="shared" ref="CO71" si="152">IF(CO69=1,CO70,0)</f>
        <v>0</v>
      </c>
      <c r="CP71" s="89">
        <f t="shared" ref="CP71" si="153">IF(CP69=1,CP70,0)</f>
        <v>0</v>
      </c>
      <c r="CQ71" s="89">
        <f t="shared" ref="CQ71" si="154">IF(CQ69=1,CQ70,0)</f>
        <v>0</v>
      </c>
      <c r="CR71" s="89">
        <f t="shared" ref="CR71" si="155">IF(CR69=1,CR70,0)</f>
        <v>0</v>
      </c>
      <c r="CS71" s="89">
        <f t="shared" ref="CS71" si="156">IF(CS69=1,CS70,0)</f>
        <v>0</v>
      </c>
      <c r="CT71" s="89">
        <f t="shared" ref="CT71" si="157">IF(CT69=1,CT70,0)</f>
        <v>0</v>
      </c>
      <c r="CU71" s="89">
        <f t="shared" ref="CU71" si="158">IF(CU69=1,CU70,0)</f>
        <v>0</v>
      </c>
      <c r="CV71" s="89">
        <f t="shared" ref="CV71" si="159">IF(CV69=1,CV70,0)</f>
        <v>0</v>
      </c>
      <c r="CW71" s="89">
        <f t="shared" ref="CW71" si="160">IF(CW69=1,CW70,0)</f>
        <v>0</v>
      </c>
      <c r="CX71" s="89">
        <f t="shared" ref="CX71" si="161">IF(CX69=1,CX70,0)</f>
        <v>0</v>
      </c>
      <c r="CY71" s="89">
        <f t="shared" ref="CY71" si="162">IF(CY69=1,CY70,0)</f>
        <v>0</v>
      </c>
      <c r="CZ71" s="89">
        <f t="shared" ref="CZ71" si="163">IF(CZ69=1,CZ70,0)</f>
        <v>0</v>
      </c>
      <c r="DA71" s="89">
        <f t="shared" ref="DA71" si="164">IF(DA69=1,DA70,0)</f>
        <v>0</v>
      </c>
      <c r="DB71" s="89">
        <f t="shared" ref="DB71" si="165">IF(DB69=1,DB70,0)</f>
        <v>0</v>
      </c>
      <c r="DC71" s="89">
        <f t="shared" ref="DC71" si="166">IF(DC69=1,DC70,0)</f>
        <v>0</v>
      </c>
      <c r="DD71" s="89">
        <f t="shared" ref="DD71" si="167">IF(DD69=1,DD70,0)</f>
        <v>0</v>
      </c>
      <c r="DE71" s="89">
        <f t="shared" ref="DE71" si="168">IF(DE69=1,DE70,0)</f>
        <v>0</v>
      </c>
      <c r="DF71" s="89">
        <f t="shared" ref="DF71" si="169">IF(DF69=1,DF70,0)</f>
        <v>0</v>
      </c>
      <c r="DG71" s="89">
        <f t="shared" ref="DG71" si="170">IF(DG69=1,DG70,0)</f>
        <v>0</v>
      </c>
      <c r="DH71" s="89">
        <f t="shared" ref="DH71" si="171">IF(DH69=1,DH70,0)</f>
        <v>0</v>
      </c>
      <c r="DI71" s="89">
        <f t="shared" ref="DI71" si="172">IF(DI69=1,DI70,0)</f>
        <v>0</v>
      </c>
      <c r="DJ71" s="89">
        <f t="shared" ref="DJ71" si="173">IF(DJ69=1,DJ70,0)</f>
        <v>0</v>
      </c>
      <c r="DK71" s="89">
        <f t="shared" ref="DK71" si="174">IF(DK69=1,DK70,0)</f>
        <v>0</v>
      </c>
      <c r="DL71" s="89">
        <f t="shared" ref="DL71" si="175">IF(DL69=1,DL70,0)</f>
        <v>0</v>
      </c>
      <c r="DM71" s="89">
        <f t="shared" ref="DM71" si="176">IF(DM69=1,DM70,0)</f>
        <v>0</v>
      </c>
      <c r="DN71" s="89">
        <f t="shared" ref="DN71" si="177">IF(DN69=1,DN70,0)</f>
        <v>0</v>
      </c>
      <c r="DO71" s="89">
        <f t="shared" ref="DO71" si="178">IF(DO69=1,DO70,0)</f>
        <v>0</v>
      </c>
      <c r="DP71" s="89">
        <f t="shared" ref="DP71" si="179">IF(DP69=1,DP70,0)</f>
        <v>0</v>
      </c>
      <c r="DQ71" s="89"/>
      <c r="DR71" s="89"/>
      <c r="DS71" s="89"/>
      <c r="DT71" s="89"/>
      <c r="DU71" s="89"/>
      <c r="DV71" s="89"/>
      <c r="DW71" s="89"/>
      <c r="DX71" s="89"/>
      <c r="DY71" s="89"/>
      <c r="DZ71" s="89"/>
      <c r="EA71" s="89"/>
      <c r="EB71" s="89"/>
      <c r="EC71" s="89"/>
      <c r="ED71" s="89"/>
      <c r="EE71" s="89"/>
      <c r="EF71" s="89"/>
      <c r="EG71" s="89"/>
      <c r="EH71" s="89"/>
      <c r="EI71" s="89"/>
      <c r="EJ71" s="89"/>
      <c r="EK71" s="89"/>
      <c r="EL71" s="89"/>
      <c r="EM71" s="89"/>
      <c r="EN71" s="89"/>
      <c r="EO71" s="89"/>
      <c r="EP71" s="89"/>
      <c r="EQ71" s="89"/>
      <c r="ER71" s="89"/>
      <c r="ES71" s="89"/>
      <c r="ET71" s="89"/>
      <c r="EU71" s="89"/>
      <c r="EV71" s="89"/>
      <c r="EW71" s="89"/>
      <c r="EX71" s="89"/>
      <c r="EY71" s="89"/>
      <c r="EZ71" s="89"/>
    </row>
    <row r="72" spans="2:156">
      <c r="B72" s="44" t="s">
        <v>148</v>
      </c>
      <c r="C72" s="144">
        <f>SUM(E72:EZ72)</f>
        <v>51.749999999999886</v>
      </c>
      <c r="D72" s="44"/>
      <c r="E72" s="154">
        <f>E70-E71</f>
        <v>0</v>
      </c>
      <c r="F72" s="154">
        <f t="shared" ref="F72:BQ72" si="180">F70-F71</f>
        <v>0</v>
      </c>
      <c r="G72" s="154">
        <f t="shared" si="180"/>
        <v>0</v>
      </c>
      <c r="H72" s="154">
        <f t="shared" si="180"/>
        <v>0</v>
      </c>
      <c r="I72" s="154">
        <f t="shared" si="180"/>
        <v>0</v>
      </c>
      <c r="J72" s="154">
        <f t="shared" si="180"/>
        <v>0.95833333333333337</v>
      </c>
      <c r="K72" s="154">
        <f t="shared" si="180"/>
        <v>0.95833333333333337</v>
      </c>
      <c r="L72" s="154">
        <f t="shared" si="180"/>
        <v>0.95833333333333337</v>
      </c>
      <c r="M72" s="154">
        <f t="shared" si="180"/>
        <v>0.95833333333333337</v>
      </c>
      <c r="N72" s="154">
        <f t="shared" si="180"/>
        <v>0.95833333333333337</v>
      </c>
      <c r="O72" s="154">
        <f t="shared" si="180"/>
        <v>0.95833333333333337</v>
      </c>
      <c r="P72" s="154">
        <f t="shared" si="180"/>
        <v>0.95334201388888884</v>
      </c>
      <c r="Q72" s="154">
        <f t="shared" si="180"/>
        <v>0.943359375</v>
      </c>
      <c r="R72" s="154">
        <f t="shared" si="180"/>
        <v>0.93337673611111105</v>
      </c>
      <c r="S72" s="154">
        <f t="shared" si="180"/>
        <v>0.92339409722222221</v>
      </c>
      <c r="T72" s="154">
        <f t="shared" si="180"/>
        <v>0.91341145833333315</v>
      </c>
      <c r="U72" s="154">
        <f t="shared" si="180"/>
        <v>0.90342881944444431</v>
      </c>
      <c r="V72" s="154">
        <f t="shared" si="180"/>
        <v>0.89344618055555536</v>
      </c>
      <c r="W72" s="154">
        <f t="shared" si="180"/>
        <v>0.88346354166666652</v>
      </c>
      <c r="X72" s="154">
        <f t="shared" si="180"/>
        <v>0.87348090277777735</v>
      </c>
      <c r="Y72" s="154">
        <f t="shared" si="180"/>
        <v>0.86349826388888873</v>
      </c>
      <c r="Z72" s="154">
        <f t="shared" si="180"/>
        <v>0.85351562499999956</v>
      </c>
      <c r="AA72" s="154">
        <f t="shared" si="180"/>
        <v>0.84353298611111072</v>
      </c>
      <c r="AB72" s="154">
        <f t="shared" si="180"/>
        <v>0.83355034722222177</v>
      </c>
      <c r="AC72" s="154">
        <f t="shared" si="180"/>
        <v>0.82356770833333293</v>
      </c>
      <c r="AD72" s="154">
        <f t="shared" si="180"/>
        <v>0.81358506944444386</v>
      </c>
      <c r="AE72" s="154">
        <f t="shared" si="180"/>
        <v>0.80360243055555503</v>
      </c>
      <c r="AF72" s="154">
        <f t="shared" si="180"/>
        <v>0.79361979166666596</v>
      </c>
      <c r="AG72" s="154">
        <f t="shared" si="180"/>
        <v>0.78363715277777724</v>
      </c>
      <c r="AH72" s="154">
        <f t="shared" si="180"/>
        <v>0.77365451388888806</v>
      </c>
      <c r="AI72" s="154">
        <f t="shared" si="180"/>
        <v>0.76367187499999922</v>
      </c>
      <c r="AJ72" s="154">
        <f t="shared" si="180"/>
        <v>0.75368923611111027</v>
      </c>
      <c r="AK72" s="154">
        <f t="shared" si="180"/>
        <v>0.74370659722222143</v>
      </c>
      <c r="AL72" s="154">
        <f t="shared" si="180"/>
        <v>0.73372395833333248</v>
      </c>
      <c r="AM72" s="154">
        <f t="shared" si="180"/>
        <v>0.72374131944444364</v>
      </c>
      <c r="AN72" s="154">
        <f t="shared" si="180"/>
        <v>0.71375868055555458</v>
      </c>
      <c r="AO72" s="154">
        <f t="shared" si="180"/>
        <v>0.70377604166666574</v>
      </c>
      <c r="AP72" s="154">
        <f t="shared" si="180"/>
        <v>0.69379340277777668</v>
      </c>
      <c r="AQ72" s="154">
        <f t="shared" si="180"/>
        <v>0.68381076388888795</v>
      </c>
      <c r="AR72" s="154">
        <f t="shared" si="180"/>
        <v>0.67382812499999878</v>
      </c>
      <c r="AS72" s="154">
        <f t="shared" si="180"/>
        <v>0.66384548611111005</v>
      </c>
      <c r="AT72" s="154">
        <f t="shared" si="180"/>
        <v>0.65386284722222099</v>
      </c>
      <c r="AU72" s="154">
        <f t="shared" si="180"/>
        <v>0.64388020833333215</v>
      </c>
      <c r="AV72" s="154">
        <f t="shared" si="180"/>
        <v>0.6338975694444432</v>
      </c>
      <c r="AW72" s="154">
        <f t="shared" si="180"/>
        <v>0.62391493055555436</v>
      </c>
      <c r="AX72" s="154">
        <f t="shared" si="180"/>
        <v>0.6139322916666653</v>
      </c>
      <c r="AY72" s="154">
        <f t="shared" si="180"/>
        <v>0.60394965277777646</v>
      </c>
      <c r="AZ72" s="154">
        <f t="shared" si="180"/>
        <v>0.5939670138888874</v>
      </c>
      <c r="BA72" s="154">
        <f t="shared" si="180"/>
        <v>0.58398437499999856</v>
      </c>
      <c r="BB72" s="154">
        <f t="shared" si="180"/>
        <v>0.5740017361111095</v>
      </c>
      <c r="BC72" s="154">
        <f t="shared" si="180"/>
        <v>0.56401909722222077</v>
      </c>
      <c r="BD72" s="154">
        <f t="shared" si="180"/>
        <v>0.55403645833333171</v>
      </c>
      <c r="BE72" s="154">
        <f t="shared" si="180"/>
        <v>0.54405381944444287</v>
      </c>
      <c r="BF72" s="154">
        <f t="shared" si="180"/>
        <v>0.53407118055555391</v>
      </c>
      <c r="BG72" s="154">
        <f t="shared" si="180"/>
        <v>0.52408854166666508</v>
      </c>
      <c r="BH72" s="154">
        <f t="shared" si="180"/>
        <v>0.51410590277777624</v>
      </c>
      <c r="BI72" s="154">
        <f t="shared" si="180"/>
        <v>0.50412326388888729</v>
      </c>
      <c r="BJ72" s="154">
        <f t="shared" si="180"/>
        <v>0.4941406249999985</v>
      </c>
      <c r="BK72" s="154">
        <f t="shared" si="180"/>
        <v>0.48415798611110955</v>
      </c>
      <c r="BL72" s="154">
        <f t="shared" si="180"/>
        <v>0.47417534722222077</v>
      </c>
      <c r="BM72" s="154">
        <f t="shared" si="180"/>
        <v>0.46419270833333187</v>
      </c>
      <c r="BN72" s="154">
        <f t="shared" si="180"/>
        <v>0.45421006944444303</v>
      </c>
      <c r="BO72" s="154">
        <f t="shared" si="180"/>
        <v>0.44422743055555408</v>
      </c>
      <c r="BP72" s="154">
        <f t="shared" si="180"/>
        <v>0.43424479166666524</v>
      </c>
      <c r="BQ72" s="154">
        <f t="shared" si="180"/>
        <v>0.42426215277777635</v>
      </c>
      <c r="BR72" s="154">
        <f t="shared" ref="BR72:DP72" si="181">BR70-BR71</f>
        <v>0.41427951388888751</v>
      </c>
      <c r="BS72" s="154">
        <f t="shared" si="181"/>
        <v>0.40429687499999861</v>
      </c>
      <c r="BT72" s="154">
        <f t="shared" si="181"/>
        <v>0.39431423611110977</v>
      </c>
      <c r="BU72" s="154">
        <f t="shared" si="181"/>
        <v>0.38433159722222082</v>
      </c>
      <c r="BV72" s="154">
        <f t="shared" si="181"/>
        <v>0.37434895833333209</v>
      </c>
      <c r="BW72" s="154">
        <f t="shared" si="181"/>
        <v>0.36436631944444309</v>
      </c>
      <c r="BX72" s="154">
        <f t="shared" si="181"/>
        <v>0.3543836805555543</v>
      </c>
      <c r="BY72" s="154">
        <f t="shared" si="181"/>
        <v>0.34440104166666541</v>
      </c>
      <c r="BZ72" s="154">
        <f t="shared" si="181"/>
        <v>0.33441840277777657</v>
      </c>
      <c r="CA72" s="154">
        <f t="shared" si="181"/>
        <v>0.32443576388888767</v>
      </c>
      <c r="CB72" s="154">
        <f t="shared" si="181"/>
        <v>0.31445312499999883</v>
      </c>
      <c r="CC72" s="154">
        <f t="shared" si="181"/>
        <v>0.30447048611110988</v>
      </c>
      <c r="CD72" s="154">
        <f t="shared" si="181"/>
        <v>0.2944878472222211</v>
      </c>
      <c r="CE72" s="154">
        <f t="shared" si="181"/>
        <v>0.28450520833333215</v>
      </c>
      <c r="CF72" s="154">
        <f t="shared" si="181"/>
        <v>0.27452256944444337</v>
      </c>
      <c r="CG72" s="154">
        <f t="shared" si="181"/>
        <v>0.26453993055555441</v>
      </c>
      <c r="CH72" s="154">
        <f t="shared" si="181"/>
        <v>0.25455729166666557</v>
      </c>
      <c r="CI72" s="154">
        <f t="shared" si="181"/>
        <v>0.24457465277777665</v>
      </c>
      <c r="CJ72" s="154">
        <f t="shared" si="181"/>
        <v>0.23459201388888776</v>
      </c>
      <c r="CK72" s="154">
        <f t="shared" si="181"/>
        <v>0.22460937499999881</v>
      </c>
      <c r="CL72" s="154">
        <f t="shared" si="181"/>
        <v>0.21462673611110997</v>
      </c>
      <c r="CM72" s="154">
        <f t="shared" si="181"/>
        <v>0.20464409722222102</v>
      </c>
      <c r="CN72" s="154">
        <f t="shared" si="181"/>
        <v>0.19466145833333215</v>
      </c>
      <c r="CO72" s="154">
        <f t="shared" si="181"/>
        <v>0.18467881944444323</v>
      </c>
      <c r="CP72" s="154">
        <f t="shared" si="181"/>
        <v>0.17469618055555436</v>
      </c>
      <c r="CQ72" s="154">
        <f t="shared" si="181"/>
        <v>0.16471354166666544</v>
      </c>
      <c r="CR72" s="154">
        <f t="shared" si="181"/>
        <v>0.15473090277777657</v>
      </c>
      <c r="CS72" s="154">
        <f t="shared" si="181"/>
        <v>0.14474826388888765</v>
      </c>
      <c r="CT72" s="154">
        <f t="shared" si="181"/>
        <v>0.13476562499999875</v>
      </c>
      <c r="CU72" s="154">
        <f t="shared" si="181"/>
        <v>0.12478298611110987</v>
      </c>
      <c r="CV72" s="154">
        <f t="shared" si="181"/>
        <v>0.11480034722222099</v>
      </c>
      <c r="CW72" s="154">
        <f t="shared" si="181"/>
        <v>0.10481770833333209</v>
      </c>
      <c r="CX72" s="154">
        <f t="shared" si="181"/>
        <v>9.4835069444443212E-2</v>
      </c>
      <c r="CY72" s="154">
        <f t="shared" si="181"/>
        <v>8.4852430555554317E-2</v>
      </c>
      <c r="CZ72" s="154">
        <f t="shared" si="181"/>
        <v>7.486979166666545E-2</v>
      </c>
      <c r="DA72" s="154">
        <f t="shared" si="181"/>
        <v>6.4887152777776569E-2</v>
      </c>
      <c r="DB72" s="154">
        <f t="shared" si="181"/>
        <v>5.4904513888887681E-2</v>
      </c>
      <c r="DC72" s="154">
        <f t="shared" si="181"/>
        <v>4.49218749999988E-2</v>
      </c>
      <c r="DD72" s="154">
        <f t="shared" si="181"/>
        <v>3.4939236111109911E-2</v>
      </c>
      <c r="DE72" s="154">
        <f t="shared" si="181"/>
        <v>2.495659722222102E-2</v>
      </c>
      <c r="DF72" s="154">
        <f t="shared" si="181"/>
        <v>1.4973958333332133E-2</v>
      </c>
      <c r="DG72" s="154">
        <f t="shared" si="181"/>
        <v>4.9913194444432445E-3</v>
      </c>
      <c r="DH72" s="154">
        <f t="shared" si="181"/>
        <v>-1.1990408665951689E-15</v>
      </c>
      <c r="DI72" s="154">
        <f t="shared" si="181"/>
        <v>-1.1990408665951689E-15</v>
      </c>
      <c r="DJ72" s="154">
        <f t="shared" si="181"/>
        <v>-1.1990408665951689E-15</v>
      </c>
      <c r="DK72" s="154">
        <f t="shared" si="181"/>
        <v>-1.1990408665951689E-15</v>
      </c>
      <c r="DL72" s="154">
        <f t="shared" si="181"/>
        <v>-1.1990408665951689E-15</v>
      </c>
      <c r="DM72" s="154">
        <f t="shared" si="181"/>
        <v>-1.1990408665951689E-15</v>
      </c>
      <c r="DN72" s="154">
        <f t="shared" si="181"/>
        <v>-1.1990408665951689E-15</v>
      </c>
      <c r="DO72" s="154">
        <f t="shared" si="181"/>
        <v>-1.1990408665951689E-15</v>
      </c>
      <c r="DP72" s="154">
        <f t="shared" si="181"/>
        <v>-1.1990408665951689E-15</v>
      </c>
      <c r="DQ72" s="154"/>
      <c r="DR72" s="154"/>
      <c r="DS72" s="154"/>
      <c r="DT72" s="154"/>
      <c r="DU72" s="154"/>
      <c r="DV72" s="154"/>
      <c r="DW72" s="154"/>
      <c r="DX72" s="154"/>
      <c r="DY72" s="154"/>
      <c r="DZ72" s="154"/>
      <c r="EA72" s="154"/>
      <c r="EB72" s="154"/>
      <c r="EC72" s="154"/>
      <c r="ED72" s="154"/>
      <c r="EE72" s="154"/>
      <c r="EF72" s="154"/>
      <c r="EG72" s="154"/>
      <c r="EH72" s="154"/>
      <c r="EI72" s="154"/>
      <c r="EJ72" s="154"/>
      <c r="EK72" s="154"/>
      <c r="EL72" s="154"/>
      <c r="EM72" s="154"/>
      <c r="EN72" s="154"/>
      <c r="EO72" s="154"/>
      <c r="EP72" s="154"/>
      <c r="EQ72" s="154"/>
      <c r="ER72" s="154"/>
      <c r="ES72" s="154"/>
      <c r="ET72" s="154"/>
      <c r="EU72" s="154"/>
      <c r="EV72" s="154"/>
      <c r="EW72" s="154"/>
      <c r="EX72" s="154"/>
      <c r="EY72" s="154"/>
      <c r="EZ72" s="154"/>
    </row>
    <row r="73" spans="2:156">
      <c r="G73" s="27"/>
    </row>
    <row r="75" spans="2:156" ht="14">
      <c r="B75" s="37" t="s">
        <v>149</v>
      </c>
      <c r="C75" s="37"/>
      <c r="D75" s="37"/>
      <c r="E75" s="151">
        <f>Assumptions!E12</f>
        <v>44286</v>
      </c>
      <c r="F75" s="3"/>
      <c r="G75" s="3"/>
      <c r="H75" s="3"/>
    </row>
    <row r="76" spans="2:156" ht="14">
      <c r="E76" s="3"/>
      <c r="F76" s="3"/>
      <c r="G76" s="3"/>
      <c r="H76" s="3"/>
    </row>
    <row r="77" spans="2:156" ht="14">
      <c r="B77" s="2" t="s">
        <v>262</v>
      </c>
      <c r="C77" s="27"/>
      <c r="E77" s="89">
        <f>SUMIF($E$4:$I$4,$E$75,E6:I6)</f>
        <v>9.5</v>
      </c>
      <c r="F77" s="3" t="str">
        <f ca="1">_xlfn.FORMULATEXT(E77)</f>
        <v>=SUMIF($E$4:$I$4,$E$75,E6:I6)</v>
      </c>
      <c r="G77" s="3"/>
      <c r="H77" s="3"/>
    </row>
    <row r="78" spans="2:156" ht="14">
      <c r="B78" s="2" t="s">
        <v>31</v>
      </c>
      <c r="C78" s="27"/>
      <c r="E78" s="89">
        <f t="shared" ref="E78:E89" si="182">SUMIF($E$4:$I$4,$E$75,E7:I7)</f>
        <v>0</v>
      </c>
      <c r="F78" s="3"/>
      <c r="G78" s="3"/>
      <c r="H78" s="3"/>
    </row>
    <row r="79" spans="2:156" ht="14">
      <c r="B79" s="2" t="s">
        <v>32</v>
      </c>
      <c r="C79" s="27"/>
      <c r="E79" s="89">
        <f t="shared" si="182"/>
        <v>0</v>
      </c>
      <c r="F79" s="3"/>
      <c r="G79" s="3"/>
      <c r="H79" s="3"/>
    </row>
    <row r="80" spans="2:156" ht="14">
      <c r="B80" s="2" t="s">
        <v>12</v>
      </c>
      <c r="C80" s="27"/>
      <c r="E80" s="89">
        <f t="shared" si="182"/>
        <v>120</v>
      </c>
      <c r="F80" s="3"/>
      <c r="G80" s="3"/>
      <c r="H80" s="3"/>
    </row>
    <row r="81" spans="2:8" ht="14">
      <c r="B81" s="2" t="s">
        <v>33</v>
      </c>
      <c r="C81" s="27"/>
      <c r="E81" s="89">
        <f t="shared" si="182"/>
        <v>14</v>
      </c>
      <c r="F81" s="3"/>
      <c r="G81" s="3"/>
      <c r="H81" s="3"/>
    </row>
    <row r="82" spans="2:8" ht="14">
      <c r="B82" s="2" t="s">
        <v>13</v>
      </c>
      <c r="C82" s="27"/>
      <c r="E82" s="89">
        <f t="shared" si="182"/>
        <v>0</v>
      </c>
      <c r="F82" s="3"/>
      <c r="G82" s="3"/>
      <c r="H82" s="3"/>
    </row>
    <row r="83" spans="2:8">
      <c r="B83" s="2" t="s">
        <v>66</v>
      </c>
      <c r="E83" s="89">
        <f t="shared" si="182"/>
        <v>0</v>
      </c>
    </row>
    <row r="84" spans="2:8">
      <c r="B84" s="2" t="s">
        <v>73</v>
      </c>
      <c r="E84" s="89">
        <f t="shared" si="182"/>
        <v>1</v>
      </c>
    </row>
    <row r="85" spans="2:8">
      <c r="B85" s="2" t="s">
        <v>74</v>
      </c>
      <c r="C85" s="27"/>
      <c r="E85" s="89">
        <f t="shared" si="182"/>
        <v>2</v>
      </c>
    </row>
    <row r="86" spans="2:8">
      <c r="B86" s="2" t="s">
        <v>213</v>
      </c>
      <c r="C86" s="27"/>
      <c r="E86" s="89">
        <f t="shared" si="182"/>
        <v>2.1974999999999998</v>
      </c>
    </row>
    <row r="87" spans="2:8">
      <c r="B87" s="2" t="s">
        <v>202</v>
      </c>
      <c r="C87" s="27"/>
      <c r="E87" s="89">
        <f t="shared" si="182"/>
        <v>0.5</v>
      </c>
    </row>
    <row r="88" spans="2:8">
      <c r="B88" s="2" t="s">
        <v>316</v>
      </c>
      <c r="C88" s="27"/>
      <c r="E88" s="89">
        <f t="shared" si="182"/>
        <v>26.190407300000004</v>
      </c>
    </row>
    <row r="89" spans="2:8">
      <c r="B89" s="2" t="s">
        <v>317</v>
      </c>
      <c r="E89" s="89">
        <f t="shared" si="182"/>
        <v>2.7983333333333333</v>
      </c>
    </row>
    <row r="90" spans="2:8">
      <c r="B90" s="121" t="s">
        <v>139</v>
      </c>
      <c r="C90" s="81"/>
      <c r="D90" s="81"/>
      <c r="E90" s="145">
        <f>SUM(E77:E89)</f>
        <v>178.18624063333334</v>
      </c>
    </row>
    <row r="93" spans="2:8">
      <c r="B93" s="37" t="s">
        <v>150</v>
      </c>
      <c r="C93" s="37"/>
      <c r="D93" s="37"/>
      <c r="E93" s="151">
        <f>E75</f>
        <v>44286</v>
      </c>
    </row>
    <row r="94" spans="2:8">
      <c r="B94" s="2" t="s">
        <v>140</v>
      </c>
      <c r="C94" s="27"/>
      <c r="E94" s="89">
        <f>SUMIF($E$23:$I$23,$E$93,E26:I26)</f>
        <v>178.18624063333331</v>
      </c>
      <c r="F94" s="2" t="str">
        <f ca="1">_xlfn.FORMULATEXT(E94)</f>
        <v>=SUMIF($E$23:$I$23,$E$93,E26:I26)</v>
      </c>
    </row>
    <row r="95" spans="2:8">
      <c r="C95" s="27"/>
      <c r="E95" s="89"/>
    </row>
    <row r="96" spans="2:8">
      <c r="B96" s="2" t="s">
        <v>20</v>
      </c>
      <c r="C96" s="27"/>
      <c r="E96" s="89"/>
    </row>
    <row r="97" spans="2:17">
      <c r="C97" s="27"/>
      <c r="E97" s="89"/>
    </row>
    <row r="98" spans="2:17">
      <c r="B98" s="2" t="s">
        <v>141</v>
      </c>
      <c r="C98" s="27"/>
      <c r="E98" s="89">
        <f>SUMIF($E$23:$I$23,$E$93,E30:I30)</f>
        <v>4.3186240633333339</v>
      </c>
      <c r="F98" s="2" t="str">
        <f t="shared" ref="F98:F99" ca="1" si="183">_xlfn.FORMULATEXT(E98)</f>
        <v>=SUMIF($E$23:$I$23,$E$93,E30:I30)</v>
      </c>
      <c r="I98" s="27"/>
    </row>
    <row r="99" spans="2:17">
      <c r="B99" s="2" t="s">
        <v>142</v>
      </c>
      <c r="C99" s="27"/>
      <c r="E99" s="89">
        <f>SUMIF($E$23:$I$23,$E$93,E31:I31)</f>
        <v>58.867616569999988</v>
      </c>
      <c r="F99" s="2" t="str">
        <f t="shared" ca="1" si="183"/>
        <v>=SUMIF($E$23:$I$23,$E$93,E31:I31)</v>
      </c>
    </row>
    <row r="100" spans="2:17">
      <c r="C100" s="27"/>
      <c r="E100" s="89"/>
    </row>
    <row r="101" spans="2:17">
      <c r="B101" s="2" t="s">
        <v>143</v>
      </c>
      <c r="C101" s="27"/>
      <c r="D101" s="27"/>
      <c r="E101" s="89">
        <f>SUMIF($E$23:$I$23,$E$93,E33:I33)</f>
        <v>115</v>
      </c>
      <c r="F101" s="2" t="str">
        <f t="shared" ref="F101:F102" ca="1" si="184">_xlfn.FORMULATEXT(E101)</f>
        <v>=SUMIF($E$23:$I$23,$E$93,E33:I33)</v>
      </c>
    </row>
    <row r="102" spans="2:17">
      <c r="B102" s="2" t="s">
        <v>334</v>
      </c>
      <c r="C102" s="27"/>
      <c r="E102" s="89">
        <f>SUMIF($E$23:$I$23,$E$93,E34:I34)</f>
        <v>63.18624063333332</v>
      </c>
      <c r="F102" s="2" t="str">
        <f t="shared" ca="1" si="184"/>
        <v>=SUMIF($E$23:$I$23,$E$93,E34:I34)</v>
      </c>
    </row>
    <row r="103" spans="2:17">
      <c r="B103" s="121" t="s">
        <v>336</v>
      </c>
      <c r="C103" s="121"/>
      <c r="D103" s="121"/>
      <c r="E103" s="124">
        <f>E101+E102</f>
        <v>178.18624063333331</v>
      </c>
    </row>
    <row r="106" spans="2:17">
      <c r="B106" s="37" t="s">
        <v>151</v>
      </c>
      <c r="C106" s="37"/>
      <c r="D106" s="37"/>
      <c r="E106" s="151">
        <f>E93</f>
        <v>44286</v>
      </c>
      <c r="F106" s="151">
        <f>EOMONTH(E106,12)</f>
        <v>44651</v>
      </c>
      <c r="G106" s="151">
        <f t="shared" ref="G106:Q106" si="185">EOMONTH(F106,12)</f>
        <v>45016</v>
      </c>
      <c r="H106" s="151">
        <f t="shared" si="185"/>
        <v>45382</v>
      </c>
      <c r="I106" s="151">
        <f t="shared" si="185"/>
        <v>45747</v>
      </c>
      <c r="J106" s="151">
        <f t="shared" si="185"/>
        <v>46112</v>
      </c>
      <c r="K106" s="151">
        <f t="shared" si="185"/>
        <v>46477</v>
      </c>
      <c r="L106" s="151">
        <f t="shared" si="185"/>
        <v>46843</v>
      </c>
      <c r="M106" s="151">
        <f t="shared" si="185"/>
        <v>47208</v>
      </c>
      <c r="N106" s="151">
        <f t="shared" si="185"/>
        <v>47573</v>
      </c>
      <c r="O106" s="151">
        <f t="shared" si="185"/>
        <v>47938</v>
      </c>
      <c r="P106" s="151">
        <f t="shared" si="185"/>
        <v>48304</v>
      </c>
      <c r="Q106" s="151">
        <f t="shared" si="185"/>
        <v>48669</v>
      </c>
    </row>
    <row r="107" spans="2:17">
      <c r="B107" s="2" t="s">
        <v>337</v>
      </c>
      <c r="E107" s="2">
        <f>COUNTIFS($E$61:$EZ$61,E106,$E$66:$EZ$66,"&gt;0")</f>
        <v>0</v>
      </c>
      <c r="F107" s="2">
        <f>COUNTIFS($E$61:$EZ$61,F106,$E$66:$EZ$66,"&gt;0")</f>
        <v>9</v>
      </c>
      <c r="G107" s="2">
        <f t="shared" ref="G107:Q107" si="186">COUNTIFS($E$61:$EZ$61,G106,$E$66:$EZ$66,"&gt;0")</f>
        <v>12</v>
      </c>
      <c r="H107" s="2">
        <f t="shared" si="186"/>
        <v>12</v>
      </c>
      <c r="I107" s="2">
        <f t="shared" si="186"/>
        <v>12</v>
      </c>
      <c r="J107" s="2">
        <f t="shared" si="186"/>
        <v>12</v>
      </c>
      <c r="K107" s="2">
        <f t="shared" si="186"/>
        <v>12</v>
      </c>
      <c r="L107" s="2">
        <f t="shared" si="186"/>
        <v>12</v>
      </c>
      <c r="M107" s="2">
        <f t="shared" si="186"/>
        <v>12</v>
      </c>
      <c r="N107" s="2">
        <f t="shared" si="186"/>
        <v>3</v>
      </c>
      <c r="O107" s="2">
        <f t="shared" si="186"/>
        <v>0</v>
      </c>
      <c r="P107" s="2">
        <f t="shared" si="186"/>
        <v>0</v>
      </c>
      <c r="Q107" s="2">
        <f t="shared" si="186"/>
        <v>0</v>
      </c>
    </row>
    <row r="108" spans="2:17">
      <c r="B108" s="2" t="s">
        <v>43</v>
      </c>
      <c r="C108" s="27"/>
      <c r="E108" s="257">
        <f>0</f>
        <v>0</v>
      </c>
      <c r="F108" s="257">
        <f>E111</f>
        <v>115</v>
      </c>
      <c r="G108" s="257">
        <f t="shared" ref="G108:Q108" si="187">F111</f>
        <v>104.21875</v>
      </c>
      <c r="H108" s="257">
        <f t="shared" si="187"/>
        <v>89.84375</v>
      </c>
      <c r="I108" s="257">
        <f t="shared" si="187"/>
        <v>75.46875</v>
      </c>
      <c r="J108" s="257">
        <f t="shared" si="187"/>
        <v>61.093750000000007</v>
      </c>
      <c r="K108" s="257">
        <f t="shared" si="187"/>
        <v>46.718750000000014</v>
      </c>
      <c r="L108" s="257">
        <f t="shared" si="187"/>
        <v>32.343750000000021</v>
      </c>
      <c r="M108" s="257">
        <f t="shared" si="187"/>
        <v>17.968750000000028</v>
      </c>
      <c r="N108" s="257">
        <f t="shared" si="187"/>
        <v>3.5937500000000338</v>
      </c>
      <c r="O108" s="257">
        <f t="shared" si="187"/>
        <v>3.4194869158454821E-14</v>
      </c>
      <c r="P108" s="257">
        <f t="shared" si="187"/>
        <v>3.4194869158454821E-14</v>
      </c>
      <c r="Q108" s="257">
        <f t="shared" si="187"/>
        <v>3.4194869158454821E-14</v>
      </c>
    </row>
    <row r="109" spans="2:17">
      <c r="B109" s="256" t="s">
        <v>145</v>
      </c>
      <c r="C109" s="27">
        <f>SUM(E109:Q109)</f>
        <v>115</v>
      </c>
      <c r="E109" s="89">
        <f>SUMIF($E$61:$EZ$61,E106,$E$65:$EZ$65)</f>
        <v>115</v>
      </c>
      <c r="F109" s="89">
        <f t="shared" ref="F109:Q109" si="188">SUMIF($E$61:$EZ$61,F106,$E$65:$EZ$65)</f>
        <v>0</v>
      </c>
      <c r="G109" s="89">
        <f t="shared" si="188"/>
        <v>0</v>
      </c>
      <c r="H109" s="89">
        <f t="shared" si="188"/>
        <v>0</v>
      </c>
      <c r="I109" s="89">
        <f t="shared" si="188"/>
        <v>0</v>
      </c>
      <c r="J109" s="89">
        <f t="shared" si="188"/>
        <v>0</v>
      </c>
      <c r="K109" s="89">
        <f t="shared" si="188"/>
        <v>0</v>
      </c>
      <c r="L109" s="89">
        <f t="shared" si="188"/>
        <v>0</v>
      </c>
      <c r="M109" s="89">
        <f t="shared" si="188"/>
        <v>0</v>
      </c>
      <c r="N109" s="89">
        <f t="shared" si="188"/>
        <v>0</v>
      </c>
      <c r="O109" s="89">
        <f t="shared" si="188"/>
        <v>0</v>
      </c>
      <c r="P109" s="89">
        <f t="shared" si="188"/>
        <v>0</v>
      </c>
      <c r="Q109" s="89">
        <f t="shared" si="188"/>
        <v>0</v>
      </c>
    </row>
    <row r="110" spans="2:17">
      <c r="B110" s="256" t="s">
        <v>146</v>
      </c>
      <c r="C110" s="27">
        <f>SUM(E110:Q110)</f>
        <v>114.99999999999997</v>
      </c>
      <c r="E110" s="89">
        <f>SUMIF($E$61:$EZ$61,E106,$E$66:$EZ$66)</f>
        <v>0</v>
      </c>
      <c r="F110" s="89">
        <f t="shared" ref="F110:Q110" si="189">SUMIF($E$61:$EZ$61,F106,$E$66:$EZ$66)</f>
        <v>10.781249999999996</v>
      </c>
      <c r="G110" s="89">
        <f t="shared" si="189"/>
        <v>14.374999999999995</v>
      </c>
      <c r="H110" s="89">
        <f t="shared" si="189"/>
        <v>14.374999999999995</v>
      </c>
      <c r="I110" s="89">
        <f t="shared" si="189"/>
        <v>14.374999999999995</v>
      </c>
      <c r="J110" s="89">
        <f t="shared" si="189"/>
        <v>14.374999999999995</v>
      </c>
      <c r="K110" s="89">
        <f t="shared" si="189"/>
        <v>14.374999999999995</v>
      </c>
      <c r="L110" s="89">
        <f t="shared" si="189"/>
        <v>14.374999999999995</v>
      </c>
      <c r="M110" s="89">
        <f t="shared" si="189"/>
        <v>14.374999999999995</v>
      </c>
      <c r="N110" s="89">
        <f t="shared" si="189"/>
        <v>3.5937499999999996</v>
      </c>
      <c r="O110" s="89">
        <f t="shared" si="189"/>
        <v>0</v>
      </c>
      <c r="P110" s="89">
        <f t="shared" si="189"/>
        <v>0</v>
      </c>
      <c r="Q110" s="89">
        <f t="shared" si="189"/>
        <v>0</v>
      </c>
    </row>
    <row r="111" spans="2:17">
      <c r="B111" s="2" t="s">
        <v>44</v>
      </c>
      <c r="C111" s="27"/>
      <c r="E111" s="251">
        <f>E108+E109-E110</f>
        <v>115</v>
      </c>
      <c r="F111" s="251">
        <f t="shared" ref="F111:Q111" si="190">F108+F109-F110</f>
        <v>104.21875</v>
      </c>
      <c r="G111" s="251">
        <f t="shared" si="190"/>
        <v>89.84375</v>
      </c>
      <c r="H111" s="251">
        <f t="shared" si="190"/>
        <v>75.46875</v>
      </c>
      <c r="I111" s="251">
        <f t="shared" si="190"/>
        <v>61.093750000000007</v>
      </c>
      <c r="J111" s="251">
        <f t="shared" si="190"/>
        <v>46.718750000000014</v>
      </c>
      <c r="K111" s="251">
        <f t="shared" si="190"/>
        <v>32.343750000000021</v>
      </c>
      <c r="L111" s="251">
        <f t="shared" si="190"/>
        <v>17.968750000000028</v>
      </c>
      <c r="M111" s="251">
        <f t="shared" si="190"/>
        <v>3.5937500000000338</v>
      </c>
      <c r="N111" s="251">
        <f t="shared" si="190"/>
        <v>3.4194869158454821E-14</v>
      </c>
      <c r="O111" s="251">
        <f t="shared" si="190"/>
        <v>3.4194869158454821E-14</v>
      </c>
      <c r="P111" s="251">
        <f t="shared" si="190"/>
        <v>3.4194869158454821E-14</v>
      </c>
      <c r="Q111" s="251">
        <f t="shared" si="190"/>
        <v>3.4194869158454821E-14</v>
      </c>
    </row>
    <row r="113" spans="2:17">
      <c r="B113" s="2" t="s">
        <v>45</v>
      </c>
      <c r="C113" s="27">
        <f t="shared" ref="C113:C115" si="191">SUM(E113:Q113)</f>
        <v>54.548333333333211</v>
      </c>
      <c r="E113" s="89">
        <f>SUMIF($E$61:$EZ$61,E106,$E$70:$EZ$70)</f>
        <v>5.6733333333333329</v>
      </c>
      <c r="F113" s="89">
        <f t="shared" ref="F113:Q113" si="192">SUMIF($E$61:$EZ$61,F106,$E$70:$EZ$70)</f>
        <v>11.095703124999998</v>
      </c>
      <c r="G113" s="89">
        <f t="shared" si="192"/>
        <v>9.7031249999999947</v>
      </c>
      <c r="H113" s="89">
        <f t="shared" si="192"/>
        <v>8.2656249999999876</v>
      </c>
      <c r="I113" s="89">
        <f t="shared" si="192"/>
        <v>6.8281249999999822</v>
      </c>
      <c r="J113" s="89">
        <f t="shared" si="192"/>
        <v>5.3906249999999813</v>
      </c>
      <c r="K113" s="89">
        <f t="shared" si="192"/>
        <v>3.9531249999999845</v>
      </c>
      <c r="L113" s="89">
        <f t="shared" si="192"/>
        <v>2.5156249999999867</v>
      </c>
      <c r="M113" s="89">
        <f t="shared" si="192"/>
        <v>1.0781249999999853</v>
      </c>
      <c r="N113" s="89">
        <f t="shared" si="192"/>
        <v>4.4921874999985595E-2</v>
      </c>
      <c r="O113" s="89">
        <f t="shared" si="192"/>
        <v>0</v>
      </c>
      <c r="P113" s="89">
        <f t="shared" si="192"/>
        <v>0</v>
      </c>
      <c r="Q113" s="89">
        <f t="shared" si="192"/>
        <v>0</v>
      </c>
    </row>
    <row r="114" spans="2:17">
      <c r="B114" s="2" t="s">
        <v>137</v>
      </c>
      <c r="C114" s="27">
        <f t="shared" si="191"/>
        <v>2.7983333333333333</v>
      </c>
      <c r="E114" s="89">
        <f>SUMIF($E$61:$EZ$61,E106,$E$71:$EZ$71)</f>
        <v>2.7983333333333333</v>
      </c>
      <c r="F114" s="89">
        <f t="shared" ref="F114:Q114" si="193">SUMIF($E$61:$EZ$61,F106,$E$71:$EZ$71)</f>
        <v>0</v>
      </c>
      <c r="G114" s="89">
        <f t="shared" si="193"/>
        <v>0</v>
      </c>
      <c r="H114" s="89">
        <f t="shared" si="193"/>
        <v>0</v>
      </c>
      <c r="I114" s="89">
        <f t="shared" si="193"/>
        <v>0</v>
      </c>
      <c r="J114" s="89">
        <f t="shared" si="193"/>
        <v>0</v>
      </c>
      <c r="K114" s="89">
        <f t="shared" si="193"/>
        <v>0</v>
      </c>
      <c r="L114" s="89">
        <f t="shared" si="193"/>
        <v>0</v>
      </c>
      <c r="M114" s="89">
        <f t="shared" si="193"/>
        <v>0</v>
      </c>
      <c r="N114" s="89">
        <f t="shared" si="193"/>
        <v>0</v>
      </c>
      <c r="O114" s="89">
        <f t="shared" si="193"/>
        <v>0</v>
      </c>
      <c r="P114" s="89">
        <f t="shared" si="193"/>
        <v>0</v>
      </c>
      <c r="Q114" s="89">
        <f t="shared" si="193"/>
        <v>0</v>
      </c>
    </row>
    <row r="115" spans="2:17">
      <c r="B115" s="44" t="s">
        <v>148</v>
      </c>
      <c r="C115" s="144">
        <f t="shared" si="191"/>
        <v>51.749999999999879</v>
      </c>
      <c r="D115" s="44"/>
      <c r="E115" s="89">
        <f>SUMIF($E$61:$EZ$61,E106,$E$72:$EZ$72)</f>
        <v>2.875</v>
      </c>
      <c r="F115" s="89">
        <f t="shared" ref="F115:Q115" si="194">SUMIF($E$61:$EZ$61,F106,$E$72:$EZ$72)</f>
        <v>11.095703124999998</v>
      </c>
      <c r="G115" s="89">
        <f t="shared" si="194"/>
        <v>9.7031249999999947</v>
      </c>
      <c r="H115" s="89">
        <f t="shared" si="194"/>
        <v>8.2656249999999876</v>
      </c>
      <c r="I115" s="89">
        <f t="shared" si="194"/>
        <v>6.8281249999999822</v>
      </c>
      <c r="J115" s="89">
        <f t="shared" si="194"/>
        <v>5.3906249999999813</v>
      </c>
      <c r="K115" s="89">
        <f t="shared" si="194"/>
        <v>3.9531249999999845</v>
      </c>
      <c r="L115" s="89">
        <f t="shared" si="194"/>
        <v>2.5156249999999867</v>
      </c>
      <c r="M115" s="89">
        <f t="shared" si="194"/>
        <v>1.0781249999999853</v>
      </c>
      <c r="N115" s="89">
        <f t="shared" si="194"/>
        <v>4.4921874999985595E-2</v>
      </c>
      <c r="O115" s="89">
        <f t="shared" si="194"/>
        <v>0</v>
      </c>
      <c r="P115" s="89">
        <f t="shared" si="194"/>
        <v>0</v>
      </c>
      <c r="Q115" s="89">
        <f t="shared" si="194"/>
        <v>0</v>
      </c>
    </row>
    <row r="116" spans="2:17">
      <c r="B116" s="2" t="s">
        <v>338</v>
      </c>
      <c r="C116" s="129">
        <f>C113-C114-C115</f>
        <v>0</v>
      </c>
      <c r="E116" s="171">
        <f>F110</f>
        <v>10.781249999999996</v>
      </c>
      <c r="F116" s="171">
        <f t="shared" ref="F116:Q116" si="195">G110</f>
        <v>14.374999999999995</v>
      </c>
      <c r="G116" s="171">
        <f t="shared" si="195"/>
        <v>14.374999999999995</v>
      </c>
      <c r="H116" s="171">
        <f t="shared" si="195"/>
        <v>14.374999999999995</v>
      </c>
      <c r="I116" s="171">
        <f t="shared" si="195"/>
        <v>14.374999999999995</v>
      </c>
      <c r="J116" s="171">
        <f t="shared" si="195"/>
        <v>14.374999999999995</v>
      </c>
      <c r="K116" s="171">
        <f t="shared" si="195"/>
        <v>14.374999999999995</v>
      </c>
      <c r="L116" s="171">
        <f t="shared" si="195"/>
        <v>14.374999999999995</v>
      </c>
      <c r="M116" s="171">
        <f t="shared" si="195"/>
        <v>3.5937499999999996</v>
      </c>
      <c r="N116" s="171">
        <f t="shared" si="195"/>
        <v>0</v>
      </c>
      <c r="O116" s="171">
        <f t="shared" si="195"/>
        <v>0</v>
      </c>
      <c r="P116" s="171">
        <f t="shared" si="195"/>
        <v>0</v>
      </c>
      <c r="Q116" s="171">
        <f t="shared" si="195"/>
        <v>0</v>
      </c>
    </row>
    <row r="117" spans="2:17">
      <c r="B117" s="157"/>
      <c r="C117" s="157"/>
      <c r="D117" s="157"/>
      <c r="E117" s="133"/>
      <c r="F117" s="133"/>
      <c r="G117" s="133"/>
      <c r="H117" s="133"/>
      <c r="I117" s="133"/>
      <c r="J117" s="133"/>
      <c r="K117" s="133"/>
      <c r="L117" s="133"/>
    </row>
    <row r="118" spans="2:17">
      <c r="E118" s="156"/>
      <c r="F118" s="137"/>
      <c r="G118" s="137"/>
      <c r="H118" s="137"/>
      <c r="I118" s="137"/>
      <c r="J118" s="137"/>
      <c r="K118" s="137"/>
      <c r="L118" s="137"/>
    </row>
    <row r="119" spans="2:17">
      <c r="E119" s="156"/>
      <c r="F119" s="137"/>
      <c r="G119" s="137"/>
      <c r="H119" s="137"/>
      <c r="I119" s="137"/>
      <c r="J119" s="137"/>
      <c r="K119" s="137"/>
      <c r="L119" s="137"/>
    </row>
    <row r="120" spans="2:17">
      <c r="E120" s="137"/>
      <c r="F120" s="137"/>
      <c r="G120" s="137"/>
      <c r="H120" s="137"/>
      <c r="I120" s="137"/>
      <c r="J120" s="137"/>
      <c r="K120" s="137"/>
      <c r="L120" s="137"/>
    </row>
    <row r="122" spans="2:17">
      <c r="E122" s="27"/>
    </row>
  </sheetData>
  <pageMargins left="0.7" right="0.7" top="0.75" bottom="0.75" header="0.3" footer="0.3"/>
  <pageSetup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2060"/>
  </sheetPr>
  <dimension ref="A2:N56"/>
  <sheetViews>
    <sheetView showGridLines="0" zoomScale="220" zoomScaleNormal="220" workbookViewId="0">
      <selection activeCell="E36" sqref="E36"/>
    </sheetView>
  </sheetViews>
  <sheetFormatPr baseColWidth="10" defaultColWidth="9.1640625" defaultRowHeight="13"/>
  <cols>
    <col min="1" max="1" width="4.33203125" style="2" customWidth="1"/>
    <col min="2" max="2" width="32.6640625" style="2" bestFit="1" customWidth="1"/>
    <col min="3" max="14" width="10.6640625" style="2" customWidth="1"/>
    <col min="15" max="16384" width="9.1640625" style="2"/>
  </cols>
  <sheetData>
    <row r="2" spans="1:14">
      <c r="B2" s="37" t="s">
        <v>90</v>
      </c>
    </row>
    <row r="4" spans="1:14">
      <c r="B4" s="37" t="s">
        <v>69</v>
      </c>
      <c r="C4" s="37"/>
      <c r="D4" s="37"/>
      <c r="E4" s="93">
        <f>Assumptions!E82</f>
        <v>44286</v>
      </c>
      <c r="F4" s="93">
        <f>Assumptions!F82</f>
        <v>44651</v>
      </c>
      <c r="G4" s="93">
        <f>Assumptions!G82</f>
        <v>45016</v>
      </c>
      <c r="H4" s="93">
        <f>Assumptions!H82</f>
        <v>45382</v>
      </c>
      <c r="I4" s="93">
        <f>Assumptions!I82</f>
        <v>45747</v>
      </c>
      <c r="J4" s="93">
        <f>Assumptions!J82</f>
        <v>46112</v>
      </c>
      <c r="K4" s="93">
        <f>Assumptions!K82</f>
        <v>46477</v>
      </c>
      <c r="L4" s="93">
        <f>Assumptions!L82</f>
        <v>46843</v>
      </c>
      <c r="M4" s="93">
        <f>Assumptions!M82</f>
        <v>47208</v>
      </c>
      <c r="N4" s="93">
        <f>Assumptions!N82</f>
        <v>47573</v>
      </c>
    </row>
    <row r="5" spans="1:14">
      <c r="B5" s="2" t="s">
        <v>68</v>
      </c>
      <c r="E5" s="2">
        <f>Assumptions!E83</f>
        <v>3</v>
      </c>
      <c r="F5" s="2">
        <f>Assumptions!F83</f>
        <v>12</v>
      </c>
      <c r="G5" s="2">
        <f>Assumptions!G83</f>
        <v>12</v>
      </c>
      <c r="H5" s="2">
        <f>Assumptions!H83</f>
        <v>12</v>
      </c>
      <c r="I5" s="2">
        <f>Assumptions!I83</f>
        <v>12</v>
      </c>
      <c r="J5" s="2">
        <f>Assumptions!J83</f>
        <v>12</v>
      </c>
      <c r="K5" s="2">
        <f>Assumptions!K83</f>
        <v>12</v>
      </c>
      <c r="L5" s="2">
        <f>Assumptions!L83</f>
        <v>12</v>
      </c>
      <c r="M5" s="2">
        <f>Assumptions!M83</f>
        <v>12</v>
      </c>
      <c r="N5" s="2">
        <f>Assumptions!N83</f>
        <v>12</v>
      </c>
    </row>
    <row r="7" spans="1:14">
      <c r="B7" s="2" t="s">
        <v>341</v>
      </c>
      <c r="C7" s="2" t="s">
        <v>342</v>
      </c>
      <c r="E7" s="2">
        <f>Assumptions!E85</f>
        <v>3600</v>
      </c>
      <c r="F7" s="2">
        <f>Assumptions!F85</f>
        <v>3600</v>
      </c>
      <c r="G7" s="2">
        <f>Assumptions!G85</f>
        <v>3600</v>
      </c>
      <c r="H7" s="2">
        <f>Assumptions!H85</f>
        <v>3600</v>
      </c>
      <c r="I7" s="2">
        <f>Assumptions!I85</f>
        <v>3600</v>
      </c>
      <c r="J7" s="2">
        <f>Assumptions!J85</f>
        <v>3600</v>
      </c>
      <c r="K7" s="2">
        <f>Assumptions!K85</f>
        <v>3600</v>
      </c>
      <c r="L7" s="2">
        <f>Assumptions!L85</f>
        <v>3600</v>
      </c>
      <c r="M7" s="2">
        <f>Assumptions!M85</f>
        <v>3600</v>
      </c>
      <c r="N7" s="2">
        <f>Assumptions!N85</f>
        <v>3600</v>
      </c>
    </row>
    <row r="9" spans="1:14">
      <c r="B9" s="2" t="s">
        <v>343</v>
      </c>
      <c r="E9" s="23">
        <f>Assumptions!E86</f>
        <v>0.3</v>
      </c>
      <c r="F9" s="23">
        <f>Assumptions!F86</f>
        <v>0.35</v>
      </c>
      <c r="G9" s="23">
        <f>Assumptions!G86</f>
        <v>0.45</v>
      </c>
      <c r="H9" s="23">
        <f>Assumptions!H86</f>
        <v>0.55000000000000004</v>
      </c>
      <c r="I9" s="23">
        <f>Assumptions!I86</f>
        <v>0.65</v>
      </c>
      <c r="J9" s="23">
        <f>Assumptions!J86</f>
        <v>0.75</v>
      </c>
      <c r="K9" s="23">
        <f>Assumptions!K86</f>
        <v>0.75</v>
      </c>
      <c r="L9" s="23">
        <f>Assumptions!L86</f>
        <v>0.75</v>
      </c>
      <c r="M9" s="23">
        <f>Assumptions!M86</f>
        <v>0.75</v>
      </c>
      <c r="N9" s="23">
        <f>Assumptions!N86</f>
        <v>0.75</v>
      </c>
    </row>
    <row r="11" spans="1:14">
      <c r="B11" s="81" t="s">
        <v>87</v>
      </c>
      <c r="C11" s="81" t="s">
        <v>342</v>
      </c>
      <c r="D11" s="81"/>
      <c r="E11" s="81">
        <f>E7*E9*E5/12</f>
        <v>270</v>
      </c>
      <c r="F11" s="81">
        <f t="shared" ref="F11:N11" si="0">F7*F9*F5/12</f>
        <v>1260</v>
      </c>
      <c r="G11" s="81">
        <f t="shared" si="0"/>
        <v>1620</v>
      </c>
      <c r="H11" s="81">
        <f t="shared" si="0"/>
        <v>1980.0000000000002</v>
      </c>
      <c r="I11" s="81">
        <f t="shared" si="0"/>
        <v>2340</v>
      </c>
      <c r="J11" s="81">
        <f t="shared" si="0"/>
        <v>2700</v>
      </c>
      <c r="K11" s="81">
        <f t="shared" si="0"/>
        <v>2700</v>
      </c>
      <c r="L11" s="81">
        <f t="shared" si="0"/>
        <v>2700</v>
      </c>
      <c r="M11" s="81">
        <f t="shared" si="0"/>
        <v>2700</v>
      </c>
      <c r="N11" s="81">
        <f t="shared" si="0"/>
        <v>2700</v>
      </c>
    </row>
    <row r="13" spans="1:14">
      <c r="B13" s="2" t="s">
        <v>346</v>
      </c>
      <c r="E13" s="2">
        <v>0</v>
      </c>
      <c r="F13" s="2">
        <f>E14</f>
        <v>45</v>
      </c>
      <c r="G13" s="2">
        <f t="shared" ref="G13:N13" si="1">F14</f>
        <v>52.5</v>
      </c>
      <c r="H13" s="2">
        <f t="shared" si="1"/>
        <v>67.5</v>
      </c>
      <c r="I13" s="2">
        <f t="shared" si="1"/>
        <v>82.500000000000014</v>
      </c>
      <c r="J13" s="2">
        <f t="shared" si="1"/>
        <v>97.5</v>
      </c>
      <c r="K13" s="2">
        <f t="shared" si="1"/>
        <v>112.5</v>
      </c>
      <c r="L13" s="2">
        <f t="shared" si="1"/>
        <v>112.5</v>
      </c>
      <c r="M13" s="2">
        <f t="shared" si="1"/>
        <v>112.5</v>
      </c>
      <c r="N13" s="2">
        <f t="shared" si="1"/>
        <v>112.5</v>
      </c>
    </row>
    <row r="14" spans="1:14">
      <c r="A14" s="2">
        <f>Assumptions!D118</f>
        <v>0.5</v>
      </c>
      <c r="B14" s="2" t="s">
        <v>347</v>
      </c>
      <c r="C14" s="2" t="s">
        <v>342</v>
      </c>
      <c r="E14" s="2">
        <f>E11/E5*$A$14</f>
        <v>45</v>
      </c>
      <c r="F14" s="2">
        <f t="shared" ref="F14:N14" si="2">F11/F5*$A$14</f>
        <v>52.5</v>
      </c>
      <c r="G14" s="2">
        <f t="shared" si="2"/>
        <v>67.5</v>
      </c>
      <c r="H14" s="2">
        <f t="shared" si="2"/>
        <v>82.500000000000014</v>
      </c>
      <c r="I14" s="2">
        <f t="shared" si="2"/>
        <v>97.5</v>
      </c>
      <c r="J14" s="2">
        <f t="shared" si="2"/>
        <v>112.5</v>
      </c>
      <c r="K14" s="2">
        <f t="shared" si="2"/>
        <v>112.5</v>
      </c>
      <c r="L14" s="2">
        <f t="shared" si="2"/>
        <v>112.5</v>
      </c>
      <c r="M14" s="2">
        <f t="shared" si="2"/>
        <v>112.5</v>
      </c>
      <c r="N14" s="2">
        <f t="shared" si="2"/>
        <v>112.5</v>
      </c>
    </row>
    <row r="16" spans="1:14">
      <c r="B16" s="2" t="s">
        <v>348</v>
      </c>
      <c r="E16" s="2">
        <v>0</v>
      </c>
      <c r="F16" s="2">
        <f>E17</f>
        <v>22.5</v>
      </c>
      <c r="G16" s="2">
        <f t="shared" ref="G16:N16" si="3">F17</f>
        <v>26.25</v>
      </c>
      <c r="H16" s="2">
        <f t="shared" si="3"/>
        <v>33.75</v>
      </c>
      <c r="I16" s="2">
        <f t="shared" si="3"/>
        <v>41.250000000000007</v>
      </c>
      <c r="J16" s="2">
        <f t="shared" si="3"/>
        <v>48.75</v>
      </c>
      <c r="K16" s="2">
        <f t="shared" si="3"/>
        <v>56.25</v>
      </c>
      <c r="L16" s="2">
        <f t="shared" si="3"/>
        <v>56.25</v>
      </c>
      <c r="M16" s="2">
        <f t="shared" si="3"/>
        <v>56.25</v>
      </c>
      <c r="N16" s="2">
        <f t="shared" si="3"/>
        <v>56.25</v>
      </c>
    </row>
    <row r="17" spans="1:14">
      <c r="A17" s="2">
        <f>Assumptions!D119</f>
        <v>0.25</v>
      </c>
      <c r="B17" s="2" t="s">
        <v>349</v>
      </c>
      <c r="C17" s="2" t="s">
        <v>342</v>
      </c>
      <c r="E17" s="2">
        <f>E11/E5*$A$17</f>
        <v>22.5</v>
      </c>
      <c r="F17" s="2">
        <f t="shared" ref="F17:N17" si="4">F11/F5*$A$17</f>
        <v>26.25</v>
      </c>
      <c r="G17" s="2">
        <f t="shared" si="4"/>
        <v>33.75</v>
      </c>
      <c r="H17" s="2">
        <f t="shared" si="4"/>
        <v>41.250000000000007</v>
      </c>
      <c r="I17" s="2">
        <f t="shared" si="4"/>
        <v>48.75</v>
      </c>
      <c r="J17" s="2">
        <f t="shared" si="4"/>
        <v>56.25</v>
      </c>
      <c r="K17" s="2">
        <f t="shared" si="4"/>
        <v>56.25</v>
      </c>
      <c r="L17" s="2">
        <f t="shared" si="4"/>
        <v>56.25</v>
      </c>
      <c r="M17" s="2">
        <f t="shared" si="4"/>
        <v>56.25</v>
      </c>
      <c r="N17" s="2">
        <f t="shared" si="4"/>
        <v>56.25</v>
      </c>
    </row>
    <row r="19" spans="1:14">
      <c r="B19" s="81" t="s">
        <v>351</v>
      </c>
      <c r="C19" s="81" t="s">
        <v>342</v>
      </c>
      <c r="D19" s="81"/>
      <c r="E19" s="81">
        <f>E11+E13-E14+E16-E17</f>
        <v>202.5</v>
      </c>
      <c r="F19" s="81">
        <f t="shared" ref="F19:N19" si="5">F11+F13-F14+F16-F17</f>
        <v>1248.75</v>
      </c>
      <c r="G19" s="81">
        <f t="shared" si="5"/>
        <v>1597.5</v>
      </c>
      <c r="H19" s="81">
        <f t="shared" si="5"/>
        <v>1957.5000000000002</v>
      </c>
      <c r="I19" s="81">
        <f t="shared" si="5"/>
        <v>2317.5</v>
      </c>
      <c r="J19" s="81">
        <f t="shared" si="5"/>
        <v>2677.5</v>
      </c>
      <c r="K19" s="81">
        <f t="shared" si="5"/>
        <v>2700</v>
      </c>
      <c r="L19" s="81">
        <f t="shared" si="5"/>
        <v>2700</v>
      </c>
      <c r="M19" s="81">
        <f t="shared" si="5"/>
        <v>2700</v>
      </c>
      <c r="N19" s="81">
        <f t="shared" si="5"/>
        <v>2700</v>
      </c>
    </row>
    <row r="21" spans="1:14">
      <c r="B21" s="2" t="s">
        <v>350</v>
      </c>
    </row>
    <row r="22" spans="1:14">
      <c r="B22" s="81" t="s">
        <v>294</v>
      </c>
      <c r="C22" s="81" t="s">
        <v>342</v>
      </c>
      <c r="D22" s="81"/>
      <c r="E22" s="81">
        <f>E11*Assumptions!$D$90</f>
        <v>302.40000000000003</v>
      </c>
      <c r="F22" s="81">
        <f>F11*Assumptions!$D$90</f>
        <v>1411.2</v>
      </c>
      <c r="G22" s="81">
        <f>G11*Assumptions!$D$90</f>
        <v>1814.4</v>
      </c>
      <c r="H22" s="81">
        <f>H11*Assumptions!$D$90</f>
        <v>2217.6000000000004</v>
      </c>
      <c r="I22" s="81">
        <f>I11*Assumptions!$D$90</f>
        <v>2620.8000000000002</v>
      </c>
      <c r="J22" s="81">
        <f>J11*Assumptions!$D$90</f>
        <v>3024.0000000000005</v>
      </c>
      <c r="K22" s="81">
        <f>K11*Assumptions!$D$90</f>
        <v>3024.0000000000005</v>
      </c>
      <c r="L22" s="81">
        <f>L11*Assumptions!$D$90</f>
        <v>3024.0000000000005</v>
      </c>
      <c r="M22" s="81">
        <f>M11*Assumptions!$D$90</f>
        <v>3024.0000000000005</v>
      </c>
      <c r="N22" s="81">
        <f>N11*Assumptions!$D$90</f>
        <v>3024.0000000000005</v>
      </c>
    </row>
    <row r="23" spans="1:14">
      <c r="B23" s="2" t="s">
        <v>434</v>
      </c>
      <c r="C23" s="2" t="s">
        <v>342</v>
      </c>
      <c r="D23" s="23">
        <v>0.09</v>
      </c>
      <c r="E23" s="26">
        <f>E22*$D$23</f>
        <v>27.216000000000001</v>
      </c>
      <c r="F23" s="26">
        <f t="shared" ref="F23:N23" si="6">F22*$D$23</f>
        <v>127.008</v>
      </c>
      <c r="G23" s="26">
        <f t="shared" si="6"/>
        <v>163.29599999999999</v>
      </c>
      <c r="H23" s="26">
        <f t="shared" si="6"/>
        <v>199.58400000000003</v>
      </c>
      <c r="I23" s="26">
        <f t="shared" si="6"/>
        <v>235.87200000000001</v>
      </c>
      <c r="J23" s="26">
        <f t="shared" si="6"/>
        <v>272.16000000000003</v>
      </c>
      <c r="K23" s="26">
        <f t="shared" si="6"/>
        <v>272.16000000000003</v>
      </c>
      <c r="L23" s="26">
        <f t="shared" si="6"/>
        <v>272.16000000000003</v>
      </c>
      <c r="M23" s="26">
        <f t="shared" si="6"/>
        <v>272.16000000000003</v>
      </c>
      <c r="N23" s="26">
        <f t="shared" si="6"/>
        <v>272.16000000000003</v>
      </c>
    </row>
    <row r="25" spans="1:14">
      <c r="B25" s="2" t="s">
        <v>435</v>
      </c>
      <c r="C25" s="2" t="s">
        <v>310</v>
      </c>
      <c r="E25" s="137">
        <f>E19*Assumptions!$D$108/Lacs</f>
        <v>155.92500000000001</v>
      </c>
      <c r="F25" s="137">
        <f>F19*Assumptions!$D$108/Lacs</f>
        <v>961.53750000000002</v>
      </c>
      <c r="G25" s="137">
        <f>G19*Assumptions!$D$108/Lacs</f>
        <v>1230.075</v>
      </c>
      <c r="H25" s="137">
        <f>H19*Assumptions!$D$108/Lacs</f>
        <v>1507.2750000000003</v>
      </c>
      <c r="I25" s="137">
        <f>I19*Assumptions!$D$108/Lacs</f>
        <v>1784.4749999999999</v>
      </c>
      <c r="J25" s="137">
        <f>J19*Assumptions!$D$108/Lacs</f>
        <v>2061.6750000000002</v>
      </c>
      <c r="K25" s="137">
        <f>K19*Assumptions!$D$108/Lacs</f>
        <v>2079</v>
      </c>
      <c r="L25" s="137">
        <f>L19*Assumptions!$D$108/Lacs</f>
        <v>2079</v>
      </c>
      <c r="M25" s="137">
        <f>M19*Assumptions!$D$108/Lacs</f>
        <v>2079</v>
      </c>
      <c r="N25" s="137">
        <f>N19*Assumptions!$D$108/Lacs</f>
        <v>2079</v>
      </c>
    </row>
    <row r="26" spans="1:14">
      <c r="B26" s="2" t="s">
        <v>436</v>
      </c>
      <c r="C26" s="2" t="s">
        <v>310</v>
      </c>
      <c r="E26" s="89">
        <f>E23*Assumptions!$D$109/Lacs</f>
        <v>4.96692</v>
      </c>
      <c r="F26" s="89">
        <f>F23*Assumptions!$D$109/Lacs</f>
        <v>23.17896</v>
      </c>
      <c r="G26" s="89">
        <f>G23*Assumptions!$D$109/Lacs</f>
        <v>29.80152</v>
      </c>
      <c r="H26" s="89">
        <f>H23*Assumptions!$D$109/Lacs</f>
        <v>36.424080000000004</v>
      </c>
      <c r="I26" s="89">
        <f>I23*Assumptions!$D$109/Lacs</f>
        <v>43.046639999999996</v>
      </c>
      <c r="J26" s="89">
        <f>J23*Assumptions!$D$109/Lacs</f>
        <v>49.669199999999996</v>
      </c>
      <c r="K26" s="89">
        <f>K23*Assumptions!$D$109/Lacs</f>
        <v>49.669199999999996</v>
      </c>
      <c r="L26" s="89">
        <f>L23*Assumptions!$D$109/Lacs</f>
        <v>49.669199999999996</v>
      </c>
      <c r="M26" s="89">
        <f>M23*Assumptions!$D$109/Lacs</f>
        <v>49.669199999999996</v>
      </c>
      <c r="N26" s="89">
        <f>N23*Assumptions!$D$109/Lacs</f>
        <v>49.669199999999996</v>
      </c>
    </row>
    <row r="27" spans="1:14">
      <c r="B27" s="2" t="s">
        <v>437</v>
      </c>
      <c r="C27" s="2" t="s">
        <v>310</v>
      </c>
      <c r="E27" s="89"/>
      <c r="F27" s="89"/>
      <c r="G27" s="89"/>
      <c r="H27" s="89"/>
      <c r="I27" s="89"/>
      <c r="J27" s="89"/>
      <c r="K27" s="89"/>
      <c r="L27" s="89"/>
      <c r="M27" s="89"/>
      <c r="N27" s="89"/>
    </row>
    <row r="28" spans="1:14">
      <c r="B28" s="121" t="s">
        <v>103</v>
      </c>
      <c r="C28" s="121" t="s">
        <v>310</v>
      </c>
      <c r="D28" s="121"/>
      <c r="E28" s="124">
        <f>SUM(E25:E27)</f>
        <v>160.89192</v>
      </c>
      <c r="F28" s="124">
        <f t="shared" ref="F28:N28" si="7">SUM(F25:F27)</f>
        <v>984.71645999999998</v>
      </c>
      <c r="G28" s="124">
        <f t="shared" si="7"/>
        <v>1259.87652</v>
      </c>
      <c r="H28" s="124">
        <f t="shared" si="7"/>
        <v>1543.6990800000003</v>
      </c>
      <c r="I28" s="124">
        <f t="shared" si="7"/>
        <v>1827.5216399999999</v>
      </c>
      <c r="J28" s="124">
        <f t="shared" si="7"/>
        <v>2111.3442</v>
      </c>
      <c r="K28" s="124">
        <f t="shared" si="7"/>
        <v>2128.6691999999998</v>
      </c>
      <c r="L28" s="124">
        <f t="shared" si="7"/>
        <v>2128.6691999999998</v>
      </c>
      <c r="M28" s="124">
        <f t="shared" si="7"/>
        <v>2128.6691999999998</v>
      </c>
      <c r="N28" s="124">
        <f t="shared" si="7"/>
        <v>2128.6691999999998</v>
      </c>
    </row>
    <row r="30" spans="1:14">
      <c r="B30" s="2" t="s">
        <v>88</v>
      </c>
      <c r="C30" s="2" t="s">
        <v>310</v>
      </c>
      <c r="E30" s="89">
        <f>E22*Assumptions!$E$90/Lacs</f>
        <v>110.37600000000002</v>
      </c>
      <c r="F30" s="89">
        <f>F22*Assumptions!$E$90/Lacs</f>
        <v>515.08799999999997</v>
      </c>
      <c r="G30" s="89">
        <f>G22*Assumptions!$E$90/Lacs</f>
        <v>662.25599999999997</v>
      </c>
      <c r="H30" s="89">
        <f>H22*Assumptions!$E$90/Lacs</f>
        <v>809.42400000000021</v>
      </c>
      <c r="I30" s="89">
        <f>I22*Assumptions!$E$90/Lacs</f>
        <v>956.59199999999998</v>
      </c>
      <c r="J30" s="89">
        <f>J22*Assumptions!$E$90/Lacs</f>
        <v>1103.7600000000002</v>
      </c>
      <c r="K30" s="89">
        <f>K22*Assumptions!$E$90/Lacs</f>
        <v>1103.7600000000002</v>
      </c>
      <c r="L30" s="89">
        <f>L22*Assumptions!$E$90/Lacs</f>
        <v>1103.7600000000002</v>
      </c>
      <c r="M30" s="89">
        <f>M22*Assumptions!$E$90/Lacs</f>
        <v>1103.7600000000002</v>
      </c>
      <c r="N30" s="89">
        <f>N22*Assumptions!$E$90/Lacs</f>
        <v>1103.7600000000002</v>
      </c>
    </row>
    <row r="31" spans="1:14">
      <c r="B31" s="173" t="s">
        <v>289</v>
      </c>
      <c r="C31" s="2" t="s">
        <v>310</v>
      </c>
      <c r="E31" s="89">
        <f>E11*Assumptions!$F$92/Lacs</f>
        <v>45.738</v>
      </c>
      <c r="F31" s="89">
        <f>F11*Assumptions!$F$92/Lacs</f>
        <v>213.44399999999999</v>
      </c>
      <c r="G31" s="89">
        <f>G11*Assumptions!$F$92/Lacs</f>
        <v>274.428</v>
      </c>
      <c r="H31" s="89">
        <f>H11*Assumptions!$F$92/Lacs</f>
        <v>335.41200000000003</v>
      </c>
      <c r="I31" s="89">
        <f>I11*Assumptions!$F$92/Lacs</f>
        <v>396.39600000000002</v>
      </c>
      <c r="J31" s="89">
        <f>J11*Assumptions!$F$92/Lacs</f>
        <v>457.38</v>
      </c>
      <c r="K31" s="89">
        <f>K11*Assumptions!$F$92/Lacs</f>
        <v>457.38</v>
      </c>
      <c r="L31" s="89">
        <f>L11*Assumptions!$F$92/Lacs</f>
        <v>457.38</v>
      </c>
      <c r="M31" s="89">
        <f>M11*Assumptions!$F$92/Lacs</f>
        <v>457.38</v>
      </c>
      <c r="N31" s="89">
        <f>N11*Assumptions!$F$92/Lacs</f>
        <v>457.38</v>
      </c>
    </row>
    <row r="32" spans="1:14">
      <c r="B32" s="173" t="s">
        <v>290</v>
      </c>
      <c r="C32" s="2" t="s">
        <v>310</v>
      </c>
      <c r="E32" s="89">
        <f>E11*Assumptions!$F$93/Lacs</f>
        <v>5.1840000000000002</v>
      </c>
      <c r="F32" s="89">
        <f>F11*Assumptions!$F$93/Lacs</f>
        <v>24.192</v>
      </c>
      <c r="G32" s="89">
        <f>G11*Assumptions!$F$93/Lacs</f>
        <v>31.103999999999999</v>
      </c>
      <c r="H32" s="89">
        <f>H11*Assumptions!$F$93/Lacs</f>
        <v>38.016000000000005</v>
      </c>
      <c r="I32" s="89">
        <f>I11*Assumptions!$F$93/Lacs</f>
        <v>44.927999999999997</v>
      </c>
      <c r="J32" s="89">
        <f>J11*Assumptions!$F$93/Lacs</f>
        <v>51.84</v>
      </c>
      <c r="K32" s="89">
        <f>K11*Assumptions!$F$93/Lacs</f>
        <v>51.84</v>
      </c>
      <c r="L32" s="89">
        <f>L11*Assumptions!$F$93/Lacs</f>
        <v>51.84</v>
      </c>
      <c r="M32" s="89">
        <f>M11*Assumptions!$F$93/Lacs</f>
        <v>51.84</v>
      </c>
      <c r="N32" s="89">
        <f>N11*Assumptions!$F$93/Lacs</f>
        <v>51.84</v>
      </c>
    </row>
    <row r="33" spans="2:14">
      <c r="B33" s="173" t="s">
        <v>291</v>
      </c>
      <c r="C33" s="2" t="s">
        <v>310</v>
      </c>
      <c r="E33" s="89">
        <f>E11*Assumptions!$F$94/Lacs</f>
        <v>8.1</v>
      </c>
      <c r="F33" s="89">
        <f>F11*Assumptions!$F$94/Lacs</f>
        <v>37.799999999999997</v>
      </c>
      <c r="G33" s="89">
        <f>G11*Assumptions!$F$94/Lacs</f>
        <v>48.6</v>
      </c>
      <c r="H33" s="89">
        <f>H11*Assumptions!$F$94/Lacs</f>
        <v>59.400000000000013</v>
      </c>
      <c r="I33" s="89">
        <f>I11*Assumptions!$F$94/Lacs</f>
        <v>70.2</v>
      </c>
      <c r="J33" s="89">
        <f>J11*Assumptions!$F$94/Lacs</f>
        <v>81</v>
      </c>
      <c r="K33" s="89">
        <f>K11*Assumptions!$F$94/Lacs</f>
        <v>81</v>
      </c>
      <c r="L33" s="89">
        <f>L11*Assumptions!$F$94/Lacs</f>
        <v>81</v>
      </c>
      <c r="M33" s="89">
        <f>M11*Assumptions!$F$94/Lacs</f>
        <v>81</v>
      </c>
      <c r="N33" s="89">
        <f>N11*Assumptions!$F$94/Lacs</f>
        <v>81</v>
      </c>
    </row>
    <row r="34" spans="2:14">
      <c r="B34" s="173" t="s">
        <v>292</v>
      </c>
      <c r="C34" s="2" t="s">
        <v>310</v>
      </c>
      <c r="E34" s="89">
        <f>E11*Assumptions!$F$95/Lacs</f>
        <v>4.1580000000000004</v>
      </c>
      <c r="F34" s="89">
        <f>F11*Assumptions!$F$95/Lacs</f>
        <v>19.404</v>
      </c>
      <c r="G34" s="89">
        <f>G11*Assumptions!$F$95/Lacs</f>
        <v>24.948</v>
      </c>
      <c r="H34" s="89">
        <f>H11*Assumptions!$F$95/Lacs</f>
        <v>30.492000000000004</v>
      </c>
      <c r="I34" s="89">
        <f>I11*Assumptions!$F$95/Lacs</f>
        <v>36.036000000000001</v>
      </c>
      <c r="J34" s="89">
        <f>J11*Assumptions!$F$95/Lacs</f>
        <v>41.58</v>
      </c>
      <c r="K34" s="89">
        <f>K11*Assumptions!$F$95/Lacs</f>
        <v>41.58</v>
      </c>
      <c r="L34" s="89">
        <f>L11*Assumptions!$F$95/Lacs</f>
        <v>41.58</v>
      </c>
      <c r="M34" s="89">
        <f>M11*Assumptions!$F$95/Lacs</f>
        <v>41.58</v>
      </c>
      <c r="N34" s="89">
        <f>N11*Assumptions!$F$95/Lacs</f>
        <v>41.58</v>
      </c>
    </row>
    <row r="35" spans="2:14">
      <c r="B35" s="173" t="s">
        <v>293</v>
      </c>
      <c r="C35" s="2" t="s">
        <v>310</v>
      </c>
      <c r="E35" s="89">
        <f>E11*Assumptions!$F$96/Lacs</f>
        <v>2.0790000000000002</v>
      </c>
      <c r="F35" s="89">
        <f>F11*Assumptions!$F$96/Lacs</f>
        <v>9.702</v>
      </c>
      <c r="G35" s="89">
        <f>G11*Assumptions!$F$96/Lacs</f>
        <v>12.474</v>
      </c>
      <c r="H35" s="89">
        <f>H11*Assumptions!$F$96/Lacs</f>
        <v>15.246000000000002</v>
      </c>
      <c r="I35" s="89">
        <f>I11*Assumptions!$F$96/Lacs</f>
        <v>18.018000000000001</v>
      </c>
      <c r="J35" s="89">
        <f>J11*Assumptions!$F$96/Lacs</f>
        <v>20.79</v>
      </c>
      <c r="K35" s="89">
        <f>K11*Assumptions!$F$96/Lacs</f>
        <v>20.79</v>
      </c>
      <c r="L35" s="89">
        <f>L11*Assumptions!$F$96/Lacs</f>
        <v>20.79</v>
      </c>
      <c r="M35" s="89">
        <f>M11*Assumptions!$F$96/Lacs</f>
        <v>20.79</v>
      </c>
      <c r="N35" s="89">
        <f>N11*Assumptions!$F$96/Lacs</f>
        <v>20.79</v>
      </c>
    </row>
    <row r="36" spans="2:14">
      <c r="B36" s="173" t="s">
        <v>86</v>
      </c>
      <c r="C36" s="2" t="s">
        <v>310</v>
      </c>
      <c r="E36" s="89">
        <f>Assumptions!E102*Assumptions!E83</f>
        <v>9.57</v>
      </c>
      <c r="F36" s="89">
        <f>Assumptions!F102*Assumptions!F83</f>
        <v>40.194000000000003</v>
      </c>
      <c r="G36" s="89">
        <f>Assumptions!G102*Assumptions!G83</f>
        <v>42.203699999999998</v>
      </c>
      <c r="H36" s="89">
        <f>Assumptions!H102*Assumptions!H83</f>
        <v>44.313884999999999</v>
      </c>
      <c r="I36" s="89">
        <f>Assumptions!I102*Assumptions!I83</f>
        <v>46.529579249999998</v>
      </c>
      <c r="J36" s="89">
        <f>Assumptions!J102*Assumptions!J83</f>
        <v>48.856058212500002</v>
      </c>
      <c r="K36" s="89">
        <f>Assumptions!K102*Assumptions!K83</f>
        <v>51.298861123125008</v>
      </c>
      <c r="L36" s="89">
        <f>Assumptions!L102*Assumptions!L83</f>
        <v>53.86380417928126</v>
      </c>
      <c r="M36" s="89">
        <f>Assumptions!M102*Assumptions!M83</f>
        <v>56.556994388245329</v>
      </c>
      <c r="N36" s="89">
        <f>Assumptions!N102*Assumptions!N83</f>
        <v>59.384844107657585</v>
      </c>
    </row>
    <row r="37" spans="2:14">
      <c r="B37" s="2" t="s">
        <v>295</v>
      </c>
      <c r="C37" s="2" t="s">
        <v>310</v>
      </c>
      <c r="E37" s="258">
        <f>Assumptions!D99/12*Assumptions!E83</f>
        <v>4.5</v>
      </c>
      <c r="F37" s="258">
        <f>Assumptions!D99*(1+Assumptions!E99)</f>
        <v>19.8</v>
      </c>
      <c r="G37" s="89">
        <f>F37*(1+Assumptions!$E$99)</f>
        <v>21.78</v>
      </c>
      <c r="H37" s="89">
        <f>G37*(1+Assumptions!$E$99)</f>
        <v>23.958000000000002</v>
      </c>
      <c r="I37" s="89">
        <f>H37*(1+Assumptions!$E$99)</f>
        <v>26.353800000000003</v>
      </c>
      <c r="J37" s="89">
        <f>I37*(1+Assumptions!$E$99)</f>
        <v>28.989180000000005</v>
      </c>
      <c r="K37" s="89">
        <f>J37*(1+Assumptions!$E$99)</f>
        <v>31.888098000000006</v>
      </c>
      <c r="L37" s="89">
        <f>K37*(1+Assumptions!$E$99)</f>
        <v>35.076907800000008</v>
      </c>
      <c r="M37" s="89">
        <f>L37*(1+Assumptions!$E$99)</f>
        <v>38.584598580000012</v>
      </c>
      <c r="N37" s="89">
        <f>M37*(1+Assumptions!$E$99)</f>
        <v>42.443058438000016</v>
      </c>
    </row>
    <row r="38" spans="2:14">
      <c r="B38" s="121" t="s">
        <v>352</v>
      </c>
      <c r="C38" s="121" t="s">
        <v>310</v>
      </c>
      <c r="D38" s="121"/>
      <c r="E38" s="124">
        <f>SUM(E30:E37)</f>
        <v>189.70500000000001</v>
      </c>
      <c r="F38" s="124">
        <f t="shared" ref="F38:N38" si="8">SUM(F30:F37)</f>
        <v>879.6239999999998</v>
      </c>
      <c r="G38" s="124">
        <f t="shared" si="8"/>
        <v>1117.7936999999999</v>
      </c>
      <c r="H38" s="124">
        <f t="shared" si="8"/>
        <v>1356.2618850000006</v>
      </c>
      <c r="I38" s="124">
        <f t="shared" si="8"/>
        <v>1595.0533792500005</v>
      </c>
      <c r="J38" s="124">
        <f t="shared" si="8"/>
        <v>1834.1952382125003</v>
      </c>
      <c r="K38" s="124">
        <f t="shared" si="8"/>
        <v>1839.5369591231251</v>
      </c>
      <c r="L38" s="124">
        <f t="shared" si="8"/>
        <v>1845.2907119792815</v>
      </c>
      <c r="M38" s="124">
        <f t="shared" si="8"/>
        <v>1851.4915929682454</v>
      </c>
      <c r="N38" s="124">
        <f t="shared" si="8"/>
        <v>1858.1779025456576</v>
      </c>
    </row>
    <row r="39" spans="2:14">
      <c r="B39" s="67" t="s">
        <v>353</v>
      </c>
      <c r="C39" s="67" t="s">
        <v>297</v>
      </c>
      <c r="D39" s="67"/>
      <c r="E39" s="259">
        <f t="shared" ref="E39:N39" si="9">E38*Lacs/E11</f>
        <v>70261.111111111109</v>
      </c>
      <c r="F39" s="259">
        <f t="shared" si="9"/>
        <v>69811.428571428565</v>
      </c>
      <c r="G39" s="259">
        <f t="shared" si="9"/>
        <v>68999.611111111109</v>
      </c>
      <c r="H39" s="259">
        <f t="shared" si="9"/>
        <v>68498.075000000026</v>
      </c>
      <c r="I39" s="259">
        <f t="shared" si="9"/>
        <v>68164.674326923094</v>
      </c>
      <c r="J39" s="259">
        <f t="shared" si="9"/>
        <v>67933.156970833341</v>
      </c>
      <c r="K39" s="259">
        <f t="shared" si="9"/>
        <v>68130.998486041673</v>
      </c>
      <c r="L39" s="259">
        <f t="shared" si="9"/>
        <v>68344.100443677104</v>
      </c>
      <c r="M39" s="259">
        <f t="shared" si="9"/>
        <v>68573.762702527616</v>
      </c>
      <c r="N39" s="259">
        <f t="shared" si="9"/>
        <v>68821.403797987325</v>
      </c>
    </row>
    <row r="40" spans="2:14">
      <c r="E40" s="260"/>
    </row>
    <row r="41" spans="2:14">
      <c r="B41" s="2" t="s">
        <v>354</v>
      </c>
      <c r="E41" s="2">
        <v>0</v>
      </c>
      <c r="F41" s="25">
        <f>E42</f>
        <v>25.294</v>
      </c>
      <c r="G41" s="25">
        <f t="shared" ref="G41:N41" si="10">F42</f>
        <v>29.320799999999998</v>
      </c>
      <c r="H41" s="25">
        <f t="shared" si="10"/>
        <v>37.259790000000002</v>
      </c>
      <c r="I41" s="25">
        <f t="shared" si="10"/>
        <v>45.208729500000025</v>
      </c>
      <c r="J41" s="25">
        <f t="shared" si="10"/>
        <v>53.168445975000026</v>
      </c>
      <c r="K41" s="25">
        <f t="shared" si="10"/>
        <v>61.139841273750008</v>
      </c>
      <c r="L41" s="25">
        <f t="shared" si="10"/>
        <v>61.317898637437509</v>
      </c>
      <c r="M41" s="25">
        <f t="shared" si="10"/>
        <v>61.509690399309399</v>
      </c>
      <c r="N41" s="25">
        <f t="shared" si="10"/>
        <v>61.716386432274852</v>
      </c>
    </row>
    <row r="42" spans="2:14">
      <c r="B42" s="2" t="s">
        <v>355</v>
      </c>
      <c r="E42" s="25">
        <f t="shared" ref="E42:N42" si="11">E14*E39/Lacs*80%</f>
        <v>25.294</v>
      </c>
      <c r="F42" s="25">
        <f t="shared" si="11"/>
        <v>29.320799999999998</v>
      </c>
      <c r="G42" s="25">
        <f t="shared" si="11"/>
        <v>37.259790000000002</v>
      </c>
      <c r="H42" s="25">
        <f t="shared" si="11"/>
        <v>45.208729500000025</v>
      </c>
      <c r="I42" s="25">
        <f t="shared" si="11"/>
        <v>53.168445975000026</v>
      </c>
      <c r="J42" s="25">
        <f t="shared" si="11"/>
        <v>61.139841273750008</v>
      </c>
      <c r="K42" s="25">
        <f t="shared" si="11"/>
        <v>61.317898637437509</v>
      </c>
      <c r="L42" s="25">
        <f t="shared" si="11"/>
        <v>61.509690399309399</v>
      </c>
      <c r="M42" s="25">
        <f t="shared" si="11"/>
        <v>61.716386432274852</v>
      </c>
      <c r="N42" s="25">
        <f t="shared" si="11"/>
        <v>61.939263418188595</v>
      </c>
    </row>
    <row r="44" spans="2:14">
      <c r="B44" s="121" t="s">
        <v>90</v>
      </c>
      <c r="C44" s="121" t="s">
        <v>310</v>
      </c>
      <c r="D44" s="121"/>
      <c r="E44" s="174">
        <f>E38+E41-E42</f>
        <v>164.411</v>
      </c>
      <c r="F44" s="174">
        <f t="shared" ref="F44:N44" si="12">F38+F41-F42</f>
        <v>875.59719999999982</v>
      </c>
      <c r="G44" s="174">
        <f t="shared" si="12"/>
        <v>1109.8547099999998</v>
      </c>
      <c r="H44" s="174">
        <f t="shared" si="12"/>
        <v>1348.3129455000005</v>
      </c>
      <c r="I44" s="174">
        <f t="shared" si="12"/>
        <v>1587.0936627750007</v>
      </c>
      <c r="J44" s="174">
        <f t="shared" si="12"/>
        <v>1826.2238429137501</v>
      </c>
      <c r="K44" s="174">
        <f t="shared" si="12"/>
        <v>1839.3589017594377</v>
      </c>
      <c r="L44" s="174">
        <f t="shared" si="12"/>
        <v>1845.0989202174096</v>
      </c>
      <c r="M44" s="174">
        <f t="shared" si="12"/>
        <v>1851.2848969352799</v>
      </c>
      <c r="N44" s="174">
        <f t="shared" si="12"/>
        <v>1857.9550255597439</v>
      </c>
    </row>
    <row r="46" spans="2:14">
      <c r="E46" s="89"/>
      <c r="F46" s="89"/>
      <c r="G46" s="89"/>
      <c r="H46" s="89"/>
      <c r="I46" s="89"/>
      <c r="J46" s="89"/>
      <c r="K46" s="89"/>
      <c r="L46" s="89"/>
      <c r="M46" s="89"/>
      <c r="N46" s="89"/>
    </row>
    <row r="47" spans="2:14">
      <c r="B47" s="67" t="s">
        <v>356</v>
      </c>
      <c r="E47" s="136"/>
      <c r="F47" s="136"/>
      <c r="G47" s="136"/>
      <c r="H47" s="136"/>
      <c r="I47" s="136"/>
      <c r="J47" s="136"/>
      <c r="K47" s="136"/>
      <c r="L47" s="136"/>
      <c r="M47" s="136"/>
      <c r="N47" s="136"/>
    </row>
    <row r="48" spans="2:14">
      <c r="E48" s="89"/>
      <c r="F48" s="89"/>
      <c r="G48" s="89"/>
      <c r="H48" s="89"/>
      <c r="I48" s="89"/>
      <c r="J48" s="89"/>
      <c r="K48" s="89"/>
      <c r="L48" s="89"/>
      <c r="M48" s="89"/>
      <c r="N48" s="89"/>
    </row>
    <row r="49" spans="2:14">
      <c r="B49" s="2" t="s">
        <v>357</v>
      </c>
      <c r="E49" s="89"/>
      <c r="F49" s="89">
        <f>E50</f>
        <v>15.80875</v>
      </c>
      <c r="G49" s="89">
        <f t="shared" ref="G49:N49" si="13">F50</f>
        <v>18.325499999999998</v>
      </c>
      <c r="H49" s="89">
        <f t="shared" si="13"/>
        <v>23.287368749999999</v>
      </c>
      <c r="I49" s="89">
        <f t="shared" si="13"/>
        <v>28.255455937500013</v>
      </c>
      <c r="J49" s="89">
        <f t="shared" si="13"/>
        <v>33.230278734375013</v>
      </c>
      <c r="K49" s="89">
        <f t="shared" si="13"/>
        <v>38.212400796093753</v>
      </c>
      <c r="L49" s="89">
        <f t="shared" si="13"/>
        <v>38.323686648398443</v>
      </c>
      <c r="M49" s="89">
        <f t="shared" si="13"/>
        <v>38.443556499568373</v>
      </c>
      <c r="N49" s="89">
        <f t="shared" si="13"/>
        <v>38.572741520171782</v>
      </c>
    </row>
    <row r="50" spans="2:14">
      <c r="B50" s="2" t="s">
        <v>358</v>
      </c>
      <c r="E50" s="89">
        <f t="shared" ref="E50:N50" si="14">E17*E39/Lacs</f>
        <v>15.80875</v>
      </c>
      <c r="F50" s="89">
        <f t="shared" si="14"/>
        <v>18.325499999999998</v>
      </c>
      <c r="G50" s="89">
        <f t="shared" si="14"/>
        <v>23.287368749999999</v>
      </c>
      <c r="H50" s="89">
        <f t="shared" si="14"/>
        <v>28.255455937500013</v>
      </c>
      <c r="I50" s="89">
        <f t="shared" si="14"/>
        <v>33.230278734375013</v>
      </c>
      <c r="J50" s="89">
        <f t="shared" si="14"/>
        <v>38.212400796093753</v>
      </c>
      <c r="K50" s="89">
        <f t="shared" si="14"/>
        <v>38.323686648398443</v>
      </c>
      <c r="L50" s="89">
        <f t="shared" si="14"/>
        <v>38.443556499568373</v>
      </c>
      <c r="M50" s="89">
        <f t="shared" si="14"/>
        <v>38.572741520171782</v>
      </c>
      <c r="N50" s="89">
        <f t="shared" si="14"/>
        <v>38.712039636367869</v>
      </c>
    </row>
    <row r="52" spans="2:14">
      <c r="B52" s="121" t="s">
        <v>93</v>
      </c>
      <c r="C52" s="121" t="s">
        <v>310</v>
      </c>
      <c r="D52" s="121"/>
      <c r="E52" s="174">
        <f>E44+E49-E50</f>
        <v>148.60225</v>
      </c>
      <c r="F52" s="174">
        <f t="shared" ref="F52:N52" si="15">F44+F49-F50</f>
        <v>873.08044999999981</v>
      </c>
      <c r="G52" s="174">
        <f t="shared" si="15"/>
        <v>1104.8928412499997</v>
      </c>
      <c r="H52" s="174">
        <f t="shared" si="15"/>
        <v>1343.3448583125005</v>
      </c>
      <c r="I52" s="174">
        <f t="shared" si="15"/>
        <v>1582.1188399781258</v>
      </c>
      <c r="J52" s="174">
        <f t="shared" si="15"/>
        <v>1821.2417208520312</v>
      </c>
      <c r="K52" s="174">
        <f t="shared" si="15"/>
        <v>1839.247615907133</v>
      </c>
      <c r="L52" s="174">
        <f t="shared" si="15"/>
        <v>1844.9790503662398</v>
      </c>
      <c r="M52" s="174">
        <f t="shared" si="15"/>
        <v>1851.1557119146764</v>
      </c>
      <c r="N52" s="174">
        <f t="shared" si="15"/>
        <v>1857.815727443548</v>
      </c>
    </row>
    <row r="53" spans="2:14">
      <c r="B53" s="2" t="s">
        <v>48</v>
      </c>
      <c r="C53" s="2" t="s">
        <v>310</v>
      </c>
      <c r="D53" s="120"/>
      <c r="E53" s="261">
        <f>E28*Assumptions!E104</f>
        <v>4.8267575999999996</v>
      </c>
      <c r="F53" s="261">
        <f>F28*Assumptions!F104</f>
        <v>29.541493799999998</v>
      </c>
      <c r="G53" s="261">
        <f>G28*Assumptions!G104</f>
        <v>37.796295600000001</v>
      </c>
      <c r="H53" s="261">
        <f>H28*Assumptions!H104</f>
        <v>46.310972400000011</v>
      </c>
      <c r="I53" s="261">
        <f>I28*Assumptions!I104</f>
        <v>54.825649199999994</v>
      </c>
      <c r="J53" s="261">
        <f>J28*Assumptions!J104</f>
        <v>63.340325999999997</v>
      </c>
      <c r="K53" s="261">
        <f>K28*Assumptions!K104</f>
        <v>63.860075999999992</v>
      </c>
      <c r="L53" s="261">
        <f>L28*Assumptions!L104</f>
        <v>63.860075999999992</v>
      </c>
      <c r="M53" s="261">
        <f>M28*Assumptions!M104</f>
        <v>63.860075999999992</v>
      </c>
      <c r="N53" s="261">
        <f>N28*Assumptions!N104</f>
        <v>63.860075999999992</v>
      </c>
    </row>
    <row r="55" spans="2:14">
      <c r="B55" s="121" t="s">
        <v>50</v>
      </c>
      <c r="C55" s="121" t="s">
        <v>310</v>
      </c>
      <c r="D55" s="121"/>
      <c r="E55" s="174">
        <f>E28-E52-E53</f>
        <v>7.4629124000000013</v>
      </c>
      <c r="F55" s="174">
        <f t="shared" ref="F55:N55" si="16">F28-F52-F53</f>
        <v>82.094516200000172</v>
      </c>
      <c r="G55" s="174">
        <f t="shared" si="16"/>
        <v>117.1873831500003</v>
      </c>
      <c r="H55" s="174">
        <f t="shared" si="16"/>
        <v>154.0432492874998</v>
      </c>
      <c r="I55" s="174">
        <f t="shared" si="16"/>
        <v>190.57715082187411</v>
      </c>
      <c r="J55" s="174">
        <f t="shared" si="16"/>
        <v>226.76215314796877</v>
      </c>
      <c r="K55" s="174">
        <f t="shared" si="16"/>
        <v>225.56150809286686</v>
      </c>
      <c r="L55" s="174">
        <f t="shared" si="16"/>
        <v>219.83007363376004</v>
      </c>
      <c r="M55" s="174">
        <f t="shared" si="16"/>
        <v>213.6534120853234</v>
      </c>
      <c r="N55" s="174">
        <f t="shared" si="16"/>
        <v>206.99339655645184</v>
      </c>
    </row>
    <row r="56" spans="2:14">
      <c r="E56" s="197">
        <f>E55/E28</f>
        <v>4.6384631372414484E-2</v>
      </c>
      <c r="F56" s="197">
        <f t="shared" ref="F56:N56" si="17">F55/F28</f>
        <v>8.3368684829336737E-2</v>
      </c>
      <c r="G56" s="197">
        <f t="shared" si="17"/>
        <v>9.3014975110418202E-2</v>
      </c>
      <c r="H56" s="197">
        <f t="shared" si="17"/>
        <v>9.9788392234774009E-2</v>
      </c>
      <c r="I56" s="197">
        <f t="shared" si="17"/>
        <v>0.10428174783302381</v>
      </c>
      <c r="J56" s="197">
        <f t="shared" si="17"/>
        <v>0.10740179320262834</v>
      </c>
      <c r="K56" s="197">
        <f t="shared" si="17"/>
        <v>0.10596362651973679</v>
      </c>
      <c r="L56" s="197">
        <f t="shared" si="17"/>
        <v>0.10327112997818545</v>
      </c>
      <c r="M56" s="197">
        <f t="shared" si="17"/>
        <v>0.10036947595489398</v>
      </c>
      <c r="N56" s="197">
        <f t="shared" si="17"/>
        <v>9.7240753310308556E-2</v>
      </c>
    </row>
  </sheetData>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2060"/>
  </sheetPr>
  <dimension ref="B2:N204"/>
  <sheetViews>
    <sheetView showGridLines="0" zoomScale="190" zoomScaleNormal="190" workbookViewId="0">
      <selection activeCell="E200" sqref="E200"/>
    </sheetView>
  </sheetViews>
  <sheetFormatPr baseColWidth="10" defaultColWidth="9.1640625" defaultRowHeight="13"/>
  <cols>
    <col min="1" max="1" width="3.5" style="2" customWidth="1"/>
    <col min="2" max="2" width="30.6640625" style="2" bestFit="1" customWidth="1"/>
    <col min="3" max="3" width="11.33203125" style="2" customWidth="1"/>
    <col min="4" max="4" width="9.1640625" style="2"/>
    <col min="5" max="12" width="10" style="2" bestFit="1" customWidth="1"/>
    <col min="13" max="16384" width="9.1640625" style="2"/>
  </cols>
  <sheetData>
    <row r="2" spans="2:9">
      <c r="B2" s="37" t="s">
        <v>49</v>
      </c>
    </row>
    <row r="4" spans="2:9">
      <c r="B4" s="37" t="s">
        <v>340</v>
      </c>
      <c r="C4" s="37"/>
      <c r="D4" s="37"/>
      <c r="E4" s="37" t="s">
        <v>82</v>
      </c>
    </row>
    <row r="5" spans="2:9" ht="28">
      <c r="C5" s="99" t="s">
        <v>307</v>
      </c>
      <c r="D5" s="99" t="s">
        <v>29</v>
      </c>
      <c r="I5" s="264"/>
    </row>
    <row r="6" spans="2:9">
      <c r="B6" s="2" t="s">
        <v>30</v>
      </c>
      <c r="C6" s="100">
        <f>Assumptions!D131</f>
        <v>0</v>
      </c>
      <c r="D6" s="100">
        <f>Assumptions!E131</f>
        <v>0</v>
      </c>
      <c r="E6" s="26">
        <f>'Project Cost'!L5</f>
        <v>9.8563850967007962</v>
      </c>
      <c r="I6" s="264"/>
    </row>
    <row r="7" spans="2:9">
      <c r="B7" s="2" t="s">
        <v>31</v>
      </c>
      <c r="C7" s="100">
        <f>Assumptions!D132</f>
        <v>3.1699999999999999E-2</v>
      </c>
      <c r="D7" s="100">
        <f>Assumptions!E132</f>
        <v>0.1</v>
      </c>
      <c r="E7" s="262">
        <f>'Project Cost'!L6</f>
        <v>0</v>
      </c>
    </row>
    <row r="8" spans="2:9">
      <c r="B8" s="2" t="s">
        <v>32</v>
      </c>
      <c r="C8" s="100">
        <f>Assumptions!D133</f>
        <v>3.1699999999999999E-2</v>
      </c>
      <c r="D8" s="100">
        <f>Assumptions!E133</f>
        <v>0.1</v>
      </c>
      <c r="E8" s="262">
        <f>'Project Cost'!L7</f>
        <v>0</v>
      </c>
    </row>
    <row r="9" spans="2:9">
      <c r="B9" s="2" t="s">
        <v>12</v>
      </c>
      <c r="C9" s="100">
        <f>Assumptions!D134</f>
        <v>6.3299999999999995E-2</v>
      </c>
      <c r="D9" s="100">
        <f>Assumptions!E134</f>
        <v>0.15</v>
      </c>
      <c r="E9" s="26">
        <f>'Project Cost'!L8</f>
        <v>124.50170648464164</v>
      </c>
    </row>
    <row r="10" spans="2:9">
      <c r="B10" s="2" t="s">
        <v>33</v>
      </c>
      <c r="C10" s="100">
        <f>Assumptions!D135</f>
        <v>9.5000000000000001E-2</v>
      </c>
      <c r="D10" s="100">
        <f>Assumptions!E135</f>
        <v>0.15</v>
      </c>
      <c r="E10" s="26">
        <f>'Project Cost'!L9</f>
        <v>14.525199089874858</v>
      </c>
    </row>
    <row r="11" spans="2:9">
      <c r="B11" s="2" t="s">
        <v>217</v>
      </c>
      <c r="C11" s="100">
        <f>Assumptions!D136</f>
        <v>9.5000000000000001E-2</v>
      </c>
      <c r="D11" s="100">
        <f>Assumptions!E136</f>
        <v>0.15</v>
      </c>
      <c r="E11" s="26">
        <f>'Project Cost'!L10</f>
        <v>0</v>
      </c>
    </row>
    <row r="12" spans="2:9">
      <c r="B12" s="2" t="s">
        <v>66</v>
      </c>
      <c r="C12" s="100">
        <f>Assumptions!D137</f>
        <v>0.19</v>
      </c>
      <c r="D12" s="100">
        <f>Assumptions!E137</f>
        <v>0.15</v>
      </c>
      <c r="E12" s="26">
        <f>'Project Cost'!L11</f>
        <v>0</v>
      </c>
    </row>
    <row r="13" spans="2:9">
      <c r="B13" s="2" t="s">
        <v>73</v>
      </c>
      <c r="C13" s="100">
        <f>Assumptions!D138</f>
        <v>0.1583</v>
      </c>
      <c r="D13" s="100">
        <f>Assumptions!E138</f>
        <v>0.6</v>
      </c>
      <c r="E13" s="26">
        <f>'Project Cost'!L12</f>
        <v>1.0375142207053469</v>
      </c>
    </row>
    <row r="14" spans="2:9">
      <c r="B14" s="2" t="s">
        <v>74</v>
      </c>
      <c r="C14" s="100">
        <f>Assumptions!D139</f>
        <v>9.5000000000000001E-2</v>
      </c>
      <c r="D14" s="100">
        <f>Assumptions!E139</f>
        <v>0.1</v>
      </c>
      <c r="E14" s="89">
        <f>'Project Cost'!L13</f>
        <v>2.0750284414106939</v>
      </c>
    </row>
    <row r="15" spans="2:9">
      <c r="B15" s="44" t="s">
        <v>65</v>
      </c>
      <c r="C15" s="101">
        <f>Assumptions!D140</f>
        <v>0.95</v>
      </c>
      <c r="D15" s="101" t="str">
        <f>Assumptions!E140</f>
        <v>-</v>
      </c>
      <c r="E15" s="154"/>
    </row>
    <row r="16" spans="2:9">
      <c r="E16" s="26">
        <f>SUM(E6:E15)</f>
        <v>151.99583333333334</v>
      </c>
    </row>
    <row r="18" spans="2:14">
      <c r="B18" s="37" t="s">
        <v>67</v>
      </c>
      <c r="C18" s="37" t="s">
        <v>339</v>
      </c>
      <c r="D18" s="37"/>
      <c r="E18" s="37"/>
      <c r="F18" s="37"/>
      <c r="G18" s="37"/>
      <c r="H18" s="37"/>
      <c r="I18" s="37"/>
      <c r="J18" s="37"/>
      <c r="K18" s="37"/>
      <c r="L18" s="37"/>
      <c r="M18" s="37"/>
      <c r="N18" s="37"/>
    </row>
    <row r="19" spans="2:14">
      <c r="B19" s="2" t="s">
        <v>69</v>
      </c>
      <c r="E19" s="35">
        <f>Assumptions!E82</f>
        <v>44286</v>
      </c>
      <c r="F19" s="35">
        <f>Assumptions!F82</f>
        <v>44651</v>
      </c>
      <c r="G19" s="35">
        <f>Assumptions!G82</f>
        <v>45016</v>
      </c>
      <c r="H19" s="35">
        <f>Assumptions!H82</f>
        <v>45382</v>
      </c>
      <c r="I19" s="35">
        <f>Assumptions!I82</f>
        <v>45747</v>
      </c>
      <c r="J19" s="35">
        <f>Assumptions!J82</f>
        <v>46112</v>
      </c>
      <c r="K19" s="35">
        <f>Assumptions!K82</f>
        <v>46477</v>
      </c>
      <c r="L19" s="35">
        <f>Assumptions!L82</f>
        <v>46843</v>
      </c>
      <c r="M19" s="35">
        <f>Assumptions!M82</f>
        <v>47208</v>
      </c>
      <c r="N19" s="35">
        <f>Assumptions!N82</f>
        <v>47573</v>
      </c>
    </row>
    <row r="20" spans="2:14">
      <c r="B20" s="44" t="s">
        <v>68</v>
      </c>
      <c r="C20" s="44"/>
      <c r="D20" s="44"/>
      <c r="E20" s="44">
        <f>Assumptions!E83</f>
        <v>3</v>
      </c>
      <c r="F20" s="44">
        <f>Assumptions!F83</f>
        <v>12</v>
      </c>
      <c r="G20" s="44">
        <f>Assumptions!G83</f>
        <v>12</v>
      </c>
      <c r="H20" s="44">
        <f>Assumptions!H83</f>
        <v>12</v>
      </c>
      <c r="I20" s="44">
        <f>Assumptions!I83</f>
        <v>12</v>
      </c>
      <c r="J20" s="44">
        <f>Assumptions!J83</f>
        <v>12</v>
      </c>
      <c r="K20" s="44">
        <f>Assumptions!K83</f>
        <v>12</v>
      </c>
      <c r="L20" s="44">
        <f>Assumptions!L83</f>
        <v>12</v>
      </c>
      <c r="M20" s="44">
        <f>Assumptions!M83</f>
        <v>12</v>
      </c>
      <c r="N20" s="44">
        <f>Assumptions!N83</f>
        <v>12</v>
      </c>
    </row>
    <row r="22" spans="2:14">
      <c r="B22" s="165" t="s">
        <v>30</v>
      </c>
      <c r="C22" s="166">
        <f>C6</f>
        <v>0</v>
      </c>
      <c r="D22" s="89"/>
      <c r="E22" s="27"/>
      <c r="F22" s="27"/>
      <c r="G22" s="27"/>
      <c r="H22" s="27"/>
      <c r="I22" s="27"/>
      <c r="J22" s="27"/>
      <c r="K22" s="27"/>
      <c r="L22" s="27"/>
    </row>
    <row r="23" spans="2:14">
      <c r="B23" s="32" t="s">
        <v>70</v>
      </c>
      <c r="D23" s="89"/>
      <c r="E23" s="89">
        <v>0</v>
      </c>
      <c r="F23" s="89">
        <f>E25</f>
        <v>9.8563850967007962</v>
      </c>
      <c r="G23" s="89">
        <f t="shared" ref="G23:N23" si="0">F25</f>
        <v>9.8563850967007962</v>
      </c>
      <c r="H23" s="89">
        <f t="shared" si="0"/>
        <v>9.8563850967007962</v>
      </c>
      <c r="I23" s="89">
        <f t="shared" si="0"/>
        <v>9.8563850967007962</v>
      </c>
      <c r="J23" s="89">
        <f t="shared" si="0"/>
        <v>9.8563850967007962</v>
      </c>
      <c r="K23" s="89">
        <f t="shared" si="0"/>
        <v>9.8563850967007962</v>
      </c>
      <c r="L23" s="89">
        <f t="shared" si="0"/>
        <v>9.8563850967007962</v>
      </c>
      <c r="M23" s="89">
        <f t="shared" si="0"/>
        <v>9.8563850967007962</v>
      </c>
      <c r="N23" s="89">
        <f t="shared" si="0"/>
        <v>9.8563850967007962</v>
      </c>
    </row>
    <row r="24" spans="2:14">
      <c r="B24" s="32" t="s">
        <v>71</v>
      </c>
      <c r="D24" s="89"/>
      <c r="E24" s="89">
        <f>E6</f>
        <v>9.8563850967007962</v>
      </c>
      <c r="F24" s="89"/>
      <c r="G24" s="89"/>
      <c r="H24" s="89"/>
      <c r="I24" s="89"/>
      <c r="J24" s="89"/>
      <c r="K24" s="89"/>
      <c r="L24" s="89"/>
      <c r="M24" s="89"/>
      <c r="N24" s="89"/>
    </row>
    <row r="25" spans="2:14">
      <c r="B25" s="32" t="s">
        <v>61</v>
      </c>
      <c r="D25" s="89"/>
      <c r="E25" s="89">
        <f>E23+E24</f>
        <v>9.8563850967007962</v>
      </c>
      <c r="F25" s="89">
        <f>F23+F24</f>
        <v>9.8563850967007962</v>
      </c>
      <c r="G25" s="89">
        <f t="shared" ref="G25:N25" si="1">G23+G24</f>
        <v>9.8563850967007962</v>
      </c>
      <c r="H25" s="89">
        <f t="shared" si="1"/>
        <v>9.8563850967007962</v>
      </c>
      <c r="I25" s="89">
        <f t="shared" si="1"/>
        <v>9.8563850967007962</v>
      </c>
      <c r="J25" s="89">
        <f t="shared" si="1"/>
        <v>9.8563850967007962</v>
      </c>
      <c r="K25" s="89">
        <f t="shared" si="1"/>
        <v>9.8563850967007962</v>
      </c>
      <c r="L25" s="89">
        <f t="shared" si="1"/>
        <v>9.8563850967007962</v>
      </c>
      <c r="M25" s="89">
        <f t="shared" si="1"/>
        <v>9.8563850967007962</v>
      </c>
      <c r="N25" s="89">
        <f t="shared" si="1"/>
        <v>9.8563850967007962</v>
      </c>
    </row>
    <row r="26" spans="2:14">
      <c r="B26" s="32" t="s">
        <v>77</v>
      </c>
      <c r="D26" s="89"/>
      <c r="E26" s="89">
        <f>E25/12*E20</f>
        <v>2.4640962741751991</v>
      </c>
      <c r="F26" s="89">
        <f>F25/12*F20</f>
        <v>9.8563850967007962</v>
      </c>
      <c r="G26" s="89">
        <f t="shared" ref="G26:N26" si="2">G25/12*G20</f>
        <v>9.8563850967007962</v>
      </c>
      <c r="H26" s="89">
        <f t="shared" si="2"/>
        <v>9.8563850967007962</v>
      </c>
      <c r="I26" s="89">
        <f t="shared" si="2"/>
        <v>9.8563850967007962</v>
      </c>
      <c r="J26" s="89">
        <f t="shared" si="2"/>
        <v>9.8563850967007962</v>
      </c>
      <c r="K26" s="89">
        <f t="shared" si="2"/>
        <v>9.8563850967007962</v>
      </c>
      <c r="L26" s="89">
        <f t="shared" si="2"/>
        <v>9.8563850967007962</v>
      </c>
      <c r="M26" s="89">
        <f t="shared" si="2"/>
        <v>9.8563850967007962</v>
      </c>
      <c r="N26" s="89">
        <f t="shared" si="2"/>
        <v>9.8563850967007962</v>
      </c>
    </row>
    <row r="27" spans="2:14">
      <c r="B27" s="32" t="s">
        <v>49</v>
      </c>
      <c r="D27" s="89"/>
      <c r="E27" s="89">
        <f>E26*$C$6</f>
        <v>0</v>
      </c>
      <c r="F27" s="89">
        <f>F26*$C$6</f>
        <v>0</v>
      </c>
      <c r="G27" s="89">
        <f t="shared" ref="G27:N27" si="3">G26*$C$6</f>
        <v>0</v>
      </c>
      <c r="H27" s="89">
        <f t="shared" si="3"/>
        <v>0</v>
      </c>
      <c r="I27" s="89">
        <f t="shared" si="3"/>
        <v>0</v>
      </c>
      <c r="J27" s="89">
        <f t="shared" si="3"/>
        <v>0</v>
      </c>
      <c r="K27" s="89">
        <f t="shared" si="3"/>
        <v>0</v>
      </c>
      <c r="L27" s="89">
        <f t="shared" si="3"/>
        <v>0</v>
      </c>
      <c r="M27" s="89">
        <f t="shared" si="3"/>
        <v>0</v>
      </c>
      <c r="N27" s="89">
        <f t="shared" si="3"/>
        <v>0</v>
      </c>
    </row>
    <row r="28" spans="2:14">
      <c r="B28" s="32" t="s">
        <v>72</v>
      </c>
      <c r="D28" s="88"/>
      <c r="E28" s="89">
        <f>D28+E27</f>
        <v>0</v>
      </c>
      <c r="F28" s="89">
        <f>E28+F27</f>
        <v>0</v>
      </c>
      <c r="G28" s="89">
        <f t="shared" ref="G28:N28" si="4">F28+G27</f>
        <v>0</v>
      </c>
      <c r="H28" s="89">
        <f t="shared" si="4"/>
        <v>0</v>
      </c>
      <c r="I28" s="89">
        <f t="shared" si="4"/>
        <v>0</v>
      </c>
      <c r="J28" s="89">
        <f t="shared" si="4"/>
        <v>0</v>
      </c>
      <c r="K28" s="89">
        <f t="shared" si="4"/>
        <v>0</v>
      </c>
      <c r="L28" s="89">
        <f t="shared" si="4"/>
        <v>0</v>
      </c>
      <c r="M28" s="89">
        <f t="shared" si="4"/>
        <v>0</v>
      </c>
      <c r="N28" s="89">
        <f t="shared" si="4"/>
        <v>0</v>
      </c>
    </row>
    <row r="29" spans="2:14">
      <c r="B29" s="42" t="s">
        <v>62</v>
      </c>
      <c r="C29" s="44"/>
      <c r="D29" s="167"/>
      <c r="E29" s="154">
        <f>E25-E28</f>
        <v>9.8563850967007962</v>
      </c>
      <c r="F29" s="154">
        <f>F25-F28</f>
        <v>9.8563850967007962</v>
      </c>
      <c r="G29" s="154">
        <f t="shared" ref="G29:N29" si="5">G25-G28</f>
        <v>9.8563850967007962</v>
      </c>
      <c r="H29" s="154">
        <f t="shared" si="5"/>
        <v>9.8563850967007962</v>
      </c>
      <c r="I29" s="154">
        <f t="shared" si="5"/>
        <v>9.8563850967007962</v>
      </c>
      <c r="J29" s="154">
        <f t="shared" si="5"/>
        <v>9.8563850967007962</v>
      </c>
      <c r="K29" s="154">
        <f t="shared" si="5"/>
        <v>9.8563850967007962</v>
      </c>
      <c r="L29" s="154">
        <f t="shared" si="5"/>
        <v>9.8563850967007962</v>
      </c>
      <c r="M29" s="154">
        <f t="shared" si="5"/>
        <v>9.8563850967007962</v>
      </c>
      <c r="N29" s="154">
        <f t="shared" si="5"/>
        <v>9.8563850967007962</v>
      </c>
    </row>
    <row r="31" spans="2:14">
      <c r="B31" s="165" t="s">
        <v>31</v>
      </c>
      <c r="C31" s="166">
        <f>C7</f>
        <v>3.1699999999999999E-2</v>
      </c>
      <c r="D31" s="89"/>
    </row>
    <row r="32" spans="2:14">
      <c r="B32" s="32" t="s">
        <v>70</v>
      </c>
      <c r="D32" s="89"/>
      <c r="E32" s="89"/>
      <c r="F32" s="89"/>
      <c r="G32" s="89"/>
      <c r="H32" s="89"/>
      <c r="I32" s="89"/>
      <c r="J32" s="89"/>
      <c r="K32" s="89"/>
      <c r="L32" s="89"/>
      <c r="M32" s="89"/>
      <c r="N32" s="89"/>
    </row>
    <row r="33" spans="2:14">
      <c r="B33" s="32" t="s">
        <v>71</v>
      </c>
      <c r="D33" s="89"/>
      <c r="E33" s="89"/>
      <c r="F33" s="89"/>
      <c r="G33" s="89"/>
      <c r="H33" s="89"/>
      <c r="I33" s="89"/>
      <c r="J33" s="89"/>
      <c r="K33" s="89"/>
      <c r="L33" s="89"/>
      <c r="M33" s="89"/>
      <c r="N33" s="89"/>
    </row>
    <row r="34" spans="2:14">
      <c r="B34" s="32" t="s">
        <v>61</v>
      </c>
      <c r="D34" s="89"/>
      <c r="E34" s="89"/>
      <c r="F34" s="89"/>
      <c r="G34" s="89"/>
      <c r="H34" s="89"/>
      <c r="I34" s="89"/>
      <c r="J34" s="89"/>
      <c r="K34" s="89"/>
      <c r="L34" s="89"/>
      <c r="M34" s="89"/>
      <c r="N34" s="89"/>
    </row>
    <row r="35" spans="2:14">
      <c r="B35" s="32" t="s">
        <v>77</v>
      </c>
      <c r="D35" s="89"/>
      <c r="E35" s="89"/>
      <c r="F35" s="89"/>
      <c r="G35" s="89"/>
      <c r="H35" s="89"/>
      <c r="I35" s="89"/>
      <c r="J35" s="89"/>
      <c r="K35" s="89"/>
      <c r="L35" s="89"/>
      <c r="M35" s="89"/>
      <c r="N35" s="89"/>
    </row>
    <row r="36" spans="2:14">
      <c r="B36" s="32" t="s">
        <v>49</v>
      </c>
      <c r="D36" s="89"/>
      <c r="E36" s="89"/>
      <c r="F36" s="89"/>
      <c r="G36" s="89"/>
      <c r="H36" s="89"/>
      <c r="I36" s="89"/>
      <c r="J36" s="89"/>
      <c r="K36" s="89"/>
      <c r="L36" s="89"/>
      <c r="M36" s="89"/>
      <c r="N36" s="89"/>
    </row>
    <row r="37" spans="2:14">
      <c r="B37" s="32" t="s">
        <v>72</v>
      </c>
      <c r="D37" s="88"/>
      <c r="E37" s="89"/>
      <c r="F37" s="89"/>
      <c r="G37" s="89"/>
      <c r="H37" s="89"/>
      <c r="I37" s="89"/>
      <c r="J37" s="89"/>
      <c r="K37" s="89"/>
      <c r="L37" s="89"/>
      <c r="M37" s="89"/>
      <c r="N37" s="89"/>
    </row>
    <row r="38" spans="2:14">
      <c r="B38" s="42" t="s">
        <v>62</v>
      </c>
      <c r="C38" s="44"/>
      <c r="D38" s="167"/>
      <c r="E38" s="154"/>
      <c r="F38" s="154"/>
      <c r="G38" s="154"/>
      <c r="H38" s="154"/>
      <c r="I38" s="154"/>
      <c r="J38" s="154"/>
      <c r="K38" s="154"/>
      <c r="L38" s="154"/>
      <c r="M38" s="154"/>
      <c r="N38" s="154"/>
    </row>
    <row r="40" spans="2:14">
      <c r="B40" s="165" t="s">
        <v>32</v>
      </c>
      <c r="C40" s="166">
        <f>C8</f>
        <v>3.1699999999999999E-2</v>
      </c>
      <c r="D40" s="89"/>
    </row>
    <row r="41" spans="2:14">
      <c r="B41" s="32" t="s">
        <v>70</v>
      </c>
      <c r="D41" s="89"/>
      <c r="E41" s="89"/>
      <c r="F41" s="89"/>
      <c r="G41" s="89"/>
      <c r="H41" s="89"/>
      <c r="I41" s="89"/>
      <c r="J41" s="89"/>
      <c r="K41" s="89"/>
      <c r="L41" s="89"/>
      <c r="M41" s="89"/>
      <c r="N41" s="89"/>
    </row>
    <row r="42" spans="2:14">
      <c r="B42" s="32" t="s">
        <v>71</v>
      </c>
      <c r="D42" s="89"/>
      <c r="E42" s="89"/>
      <c r="F42" s="89"/>
      <c r="G42" s="89"/>
      <c r="H42" s="89"/>
      <c r="I42" s="89"/>
      <c r="J42" s="89"/>
      <c r="K42" s="89"/>
      <c r="L42" s="89"/>
      <c r="M42" s="89"/>
      <c r="N42" s="89"/>
    </row>
    <row r="43" spans="2:14">
      <c r="B43" s="32" t="s">
        <v>61</v>
      </c>
      <c r="D43" s="89"/>
      <c r="E43" s="89"/>
      <c r="F43" s="89"/>
      <c r="G43" s="89"/>
      <c r="H43" s="89"/>
      <c r="I43" s="89"/>
      <c r="J43" s="89"/>
      <c r="K43" s="89"/>
      <c r="L43" s="89"/>
      <c r="M43" s="89"/>
      <c r="N43" s="89"/>
    </row>
    <row r="44" spans="2:14">
      <c r="B44" s="32" t="s">
        <v>77</v>
      </c>
      <c r="D44" s="89"/>
      <c r="E44" s="89"/>
      <c r="F44" s="89"/>
      <c r="G44" s="89"/>
      <c r="H44" s="89"/>
      <c r="I44" s="89"/>
      <c r="J44" s="89"/>
      <c r="K44" s="89"/>
      <c r="L44" s="89"/>
      <c r="M44" s="89"/>
      <c r="N44" s="89"/>
    </row>
    <row r="45" spans="2:14">
      <c r="B45" s="32" t="s">
        <v>49</v>
      </c>
      <c r="D45" s="89"/>
      <c r="E45" s="89"/>
      <c r="F45" s="89"/>
      <c r="G45" s="89"/>
      <c r="H45" s="89"/>
      <c r="I45" s="89"/>
      <c r="J45" s="89"/>
      <c r="K45" s="89"/>
      <c r="L45" s="89"/>
      <c r="M45" s="89"/>
      <c r="N45" s="89"/>
    </row>
    <row r="46" spans="2:14">
      <c r="B46" s="32" t="s">
        <v>72</v>
      </c>
      <c r="D46" s="88"/>
      <c r="E46" s="89"/>
      <c r="F46" s="89"/>
      <c r="G46" s="89"/>
      <c r="H46" s="89"/>
      <c r="I46" s="89"/>
      <c r="J46" s="89"/>
      <c r="K46" s="89"/>
      <c r="L46" s="89"/>
      <c r="M46" s="89"/>
      <c r="N46" s="89"/>
    </row>
    <row r="47" spans="2:14">
      <c r="B47" s="42" t="s">
        <v>62</v>
      </c>
      <c r="C47" s="44"/>
      <c r="D47" s="167"/>
      <c r="E47" s="154"/>
      <c r="F47" s="154"/>
      <c r="G47" s="154"/>
      <c r="H47" s="154"/>
      <c r="I47" s="154"/>
      <c r="J47" s="154"/>
      <c r="K47" s="154"/>
      <c r="L47" s="154"/>
      <c r="M47" s="154"/>
      <c r="N47" s="154"/>
    </row>
    <row r="49" spans="2:14">
      <c r="B49" s="165" t="s">
        <v>12</v>
      </c>
      <c r="C49" s="166">
        <f>C9</f>
        <v>6.3299999999999995E-2</v>
      </c>
      <c r="D49" s="89"/>
    </row>
    <row r="50" spans="2:14">
      <c r="B50" s="32" t="s">
        <v>70</v>
      </c>
      <c r="D50" s="89"/>
      <c r="E50" s="89">
        <v>0</v>
      </c>
      <c r="F50" s="89">
        <f>E52</f>
        <v>124.50170648464164</v>
      </c>
      <c r="G50" s="89">
        <f t="shared" ref="G50:N50" si="6">F52</f>
        <v>124.50170648464164</v>
      </c>
      <c r="H50" s="89">
        <f t="shared" si="6"/>
        <v>124.50170648464164</v>
      </c>
      <c r="I50" s="89">
        <f t="shared" si="6"/>
        <v>124.50170648464164</v>
      </c>
      <c r="J50" s="89">
        <f t="shared" si="6"/>
        <v>124.50170648464164</v>
      </c>
      <c r="K50" s="89">
        <f t="shared" si="6"/>
        <v>124.50170648464164</v>
      </c>
      <c r="L50" s="89">
        <f t="shared" si="6"/>
        <v>124.50170648464164</v>
      </c>
      <c r="M50" s="89">
        <f t="shared" si="6"/>
        <v>124.50170648464164</v>
      </c>
      <c r="N50" s="89">
        <f t="shared" si="6"/>
        <v>124.50170648464164</v>
      </c>
    </row>
    <row r="51" spans="2:14">
      <c r="B51" s="32" t="s">
        <v>71</v>
      </c>
      <c r="D51" s="89"/>
      <c r="E51" s="89">
        <f>E9</f>
        <v>124.50170648464164</v>
      </c>
      <c r="F51" s="89"/>
      <c r="G51" s="89"/>
      <c r="H51" s="89"/>
      <c r="I51" s="89"/>
      <c r="J51" s="89"/>
      <c r="K51" s="89"/>
      <c r="L51" s="89"/>
      <c r="M51" s="89"/>
      <c r="N51" s="89"/>
    </row>
    <row r="52" spans="2:14">
      <c r="B52" s="32" t="s">
        <v>61</v>
      </c>
      <c r="D52" s="89"/>
      <c r="E52" s="89">
        <f>E50+E51</f>
        <v>124.50170648464164</v>
      </c>
      <c r="F52" s="89">
        <f>F50+F51</f>
        <v>124.50170648464164</v>
      </c>
      <c r="G52" s="89">
        <f t="shared" ref="G52:N52" si="7">G50+G51</f>
        <v>124.50170648464164</v>
      </c>
      <c r="H52" s="89">
        <f t="shared" si="7"/>
        <v>124.50170648464164</v>
      </c>
      <c r="I52" s="89">
        <f t="shared" si="7"/>
        <v>124.50170648464164</v>
      </c>
      <c r="J52" s="89">
        <f t="shared" si="7"/>
        <v>124.50170648464164</v>
      </c>
      <c r="K52" s="89">
        <f t="shared" si="7"/>
        <v>124.50170648464164</v>
      </c>
      <c r="L52" s="89">
        <f t="shared" si="7"/>
        <v>124.50170648464164</v>
      </c>
      <c r="M52" s="89">
        <f t="shared" si="7"/>
        <v>124.50170648464164</v>
      </c>
      <c r="N52" s="89">
        <f t="shared" si="7"/>
        <v>124.50170648464164</v>
      </c>
    </row>
    <row r="53" spans="2:14">
      <c r="B53" s="32" t="s">
        <v>77</v>
      </c>
      <c r="D53" s="89"/>
      <c r="E53" s="89">
        <f>E52/12*E20</f>
        <v>31.125426621160408</v>
      </c>
      <c r="F53" s="89">
        <f>F52/12*F20</f>
        <v>124.50170648464163</v>
      </c>
      <c r="G53" s="89">
        <f t="shared" ref="G53:N53" si="8">G52/12*G20</f>
        <v>124.50170648464163</v>
      </c>
      <c r="H53" s="89">
        <f t="shared" si="8"/>
        <v>124.50170648464163</v>
      </c>
      <c r="I53" s="89">
        <f t="shared" si="8"/>
        <v>124.50170648464163</v>
      </c>
      <c r="J53" s="89">
        <f t="shared" si="8"/>
        <v>124.50170648464163</v>
      </c>
      <c r="K53" s="89">
        <f t="shared" si="8"/>
        <v>124.50170648464163</v>
      </c>
      <c r="L53" s="89">
        <f t="shared" si="8"/>
        <v>124.50170648464163</v>
      </c>
      <c r="M53" s="89">
        <f t="shared" si="8"/>
        <v>124.50170648464163</v>
      </c>
      <c r="N53" s="89">
        <f t="shared" si="8"/>
        <v>124.50170648464163</v>
      </c>
    </row>
    <row r="54" spans="2:14">
      <c r="B54" s="32" t="s">
        <v>49</v>
      </c>
      <c r="D54" s="89"/>
      <c r="E54" s="89">
        <f>E53*$C$9</f>
        <v>1.9702395051194537</v>
      </c>
      <c r="F54" s="89">
        <f>F53*$C$9</f>
        <v>7.8809580204778147</v>
      </c>
      <c r="G54" s="89">
        <f t="shared" ref="G54:N54" si="9">G53*$C$9</f>
        <v>7.8809580204778147</v>
      </c>
      <c r="H54" s="89">
        <f t="shared" si="9"/>
        <v>7.8809580204778147</v>
      </c>
      <c r="I54" s="89">
        <f t="shared" si="9"/>
        <v>7.8809580204778147</v>
      </c>
      <c r="J54" s="89">
        <f t="shared" si="9"/>
        <v>7.8809580204778147</v>
      </c>
      <c r="K54" s="89">
        <f t="shared" si="9"/>
        <v>7.8809580204778147</v>
      </c>
      <c r="L54" s="89">
        <f t="shared" si="9"/>
        <v>7.8809580204778147</v>
      </c>
      <c r="M54" s="89">
        <f t="shared" si="9"/>
        <v>7.8809580204778147</v>
      </c>
      <c r="N54" s="89">
        <f t="shared" si="9"/>
        <v>7.8809580204778147</v>
      </c>
    </row>
    <row r="55" spans="2:14">
      <c r="B55" s="32" t="s">
        <v>72</v>
      </c>
      <c r="D55" s="88"/>
      <c r="E55" s="89">
        <f>D55+E54</f>
        <v>1.9702395051194537</v>
      </c>
      <c r="F55" s="89">
        <f>E55+F54</f>
        <v>9.8511975255972679</v>
      </c>
      <c r="G55" s="89">
        <f t="shared" ref="G55:N55" si="10">F55+G54</f>
        <v>17.732155546075084</v>
      </c>
      <c r="H55" s="89">
        <f t="shared" si="10"/>
        <v>25.613113566552897</v>
      </c>
      <c r="I55" s="89">
        <f t="shared" si="10"/>
        <v>33.49407158703071</v>
      </c>
      <c r="J55" s="89">
        <f t="shared" si="10"/>
        <v>41.375029607508523</v>
      </c>
      <c r="K55" s="89">
        <f t="shared" si="10"/>
        <v>49.255987627986336</v>
      </c>
      <c r="L55" s="89">
        <f t="shared" si="10"/>
        <v>57.136945648464149</v>
      </c>
      <c r="M55" s="89">
        <f t="shared" si="10"/>
        <v>65.017903668941969</v>
      </c>
      <c r="N55" s="89">
        <f t="shared" si="10"/>
        <v>72.898861689419789</v>
      </c>
    </row>
    <row r="56" spans="2:14">
      <c r="B56" s="42" t="s">
        <v>62</v>
      </c>
      <c r="C56" s="44"/>
      <c r="D56" s="167"/>
      <c r="E56" s="154">
        <f>E52-E55</f>
        <v>122.53146697952219</v>
      </c>
      <c r="F56" s="154">
        <f>F52-F55</f>
        <v>114.65050895904437</v>
      </c>
      <c r="G56" s="154">
        <f t="shared" ref="G56:N56" si="11">G52-G55</f>
        <v>106.76955093856657</v>
      </c>
      <c r="H56" s="154">
        <f t="shared" si="11"/>
        <v>98.888592918088747</v>
      </c>
      <c r="I56" s="154">
        <f t="shared" si="11"/>
        <v>91.007634897610927</v>
      </c>
      <c r="J56" s="154">
        <f t="shared" si="11"/>
        <v>83.126676877133121</v>
      </c>
      <c r="K56" s="154">
        <f t="shared" si="11"/>
        <v>75.245718856655316</v>
      </c>
      <c r="L56" s="154">
        <f t="shared" si="11"/>
        <v>67.364760836177496</v>
      </c>
      <c r="M56" s="154">
        <f t="shared" si="11"/>
        <v>59.483802815699676</v>
      </c>
      <c r="N56" s="154">
        <f t="shared" si="11"/>
        <v>51.602844795221856</v>
      </c>
    </row>
    <row r="59" spans="2:14">
      <c r="B59" s="165" t="s">
        <v>33</v>
      </c>
      <c r="C59" s="166">
        <f>C10</f>
        <v>9.5000000000000001E-2</v>
      </c>
      <c r="D59" s="89"/>
    </row>
    <row r="60" spans="2:14">
      <c r="B60" s="32" t="s">
        <v>70</v>
      </c>
      <c r="D60" s="89"/>
      <c r="E60" s="89">
        <v>0</v>
      </c>
      <c r="F60" s="89">
        <f>E62</f>
        <v>14.525199089874858</v>
      </c>
      <c r="G60" s="89">
        <f t="shared" ref="G60:N60" si="12">F62</f>
        <v>14.525199089874858</v>
      </c>
      <c r="H60" s="89">
        <f t="shared" si="12"/>
        <v>14.525199089874858</v>
      </c>
      <c r="I60" s="89">
        <f t="shared" si="12"/>
        <v>14.525199089874858</v>
      </c>
      <c r="J60" s="89">
        <f t="shared" si="12"/>
        <v>14.525199089874858</v>
      </c>
      <c r="K60" s="89">
        <f t="shared" si="12"/>
        <v>14.525199089874858</v>
      </c>
      <c r="L60" s="89">
        <f t="shared" si="12"/>
        <v>14.525199089874858</v>
      </c>
      <c r="M60" s="89">
        <f t="shared" si="12"/>
        <v>14.525199089874858</v>
      </c>
      <c r="N60" s="89">
        <f t="shared" si="12"/>
        <v>14.525199089874858</v>
      </c>
    </row>
    <row r="61" spans="2:14">
      <c r="B61" s="32" t="s">
        <v>71</v>
      </c>
      <c r="D61" s="89"/>
      <c r="E61" s="89">
        <f>E10</f>
        <v>14.525199089874858</v>
      </c>
      <c r="F61" s="89"/>
      <c r="G61" s="89"/>
      <c r="H61" s="89"/>
      <c r="I61" s="89"/>
      <c r="J61" s="89"/>
      <c r="K61" s="89"/>
      <c r="L61" s="89"/>
      <c r="M61" s="89"/>
      <c r="N61" s="89"/>
    </row>
    <row r="62" spans="2:14">
      <c r="B62" s="32" t="s">
        <v>61</v>
      </c>
      <c r="D62" s="89"/>
      <c r="E62" s="89">
        <f>E60+E61</f>
        <v>14.525199089874858</v>
      </c>
      <c r="F62" s="89">
        <f>F60+F61</f>
        <v>14.525199089874858</v>
      </c>
      <c r="G62" s="89">
        <f t="shared" ref="G62:N62" si="13">G60+G61</f>
        <v>14.525199089874858</v>
      </c>
      <c r="H62" s="89">
        <f t="shared" si="13"/>
        <v>14.525199089874858</v>
      </c>
      <c r="I62" s="89">
        <f t="shared" si="13"/>
        <v>14.525199089874858</v>
      </c>
      <c r="J62" s="89">
        <f t="shared" si="13"/>
        <v>14.525199089874858</v>
      </c>
      <c r="K62" s="89">
        <f t="shared" si="13"/>
        <v>14.525199089874858</v>
      </c>
      <c r="L62" s="89">
        <f t="shared" si="13"/>
        <v>14.525199089874858</v>
      </c>
      <c r="M62" s="89">
        <f t="shared" si="13"/>
        <v>14.525199089874858</v>
      </c>
      <c r="N62" s="89">
        <f t="shared" si="13"/>
        <v>14.525199089874858</v>
      </c>
    </row>
    <row r="63" spans="2:14">
      <c r="B63" s="32" t="s">
        <v>77</v>
      </c>
      <c r="D63" s="89"/>
      <c r="E63" s="89">
        <f>E62/12*E20</f>
        <v>3.6312997724687146</v>
      </c>
      <c r="F63" s="89">
        <f>F62/12*F20</f>
        <v>14.525199089874858</v>
      </c>
      <c r="G63" s="89">
        <f t="shared" ref="G63:N63" si="14">G62/12*G20</f>
        <v>14.525199089874858</v>
      </c>
      <c r="H63" s="89">
        <f t="shared" si="14"/>
        <v>14.525199089874858</v>
      </c>
      <c r="I63" s="89">
        <f t="shared" si="14"/>
        <v>14.525199089874858</v>
      </c>
      <c r="J63" s="89">
        <f t="shared" si="14"/>
        <v>14.525199089874858</v>
      </c>
      <c r="K63" s="89">
        <f t="shared" si="14"/>
        <v>14.525199089874858</v>
      </c>
      <c r="L63" s="89">
        <f t="shared" si="14"/>
        <v>14.525199089874858</v>
      </c>
      <c r="M63" s="89">
        <f t="shared" si="14"/>
        <v>14.525199089874858</v>
      </c>
      <c r="N63" s="89">
        <f t="shared" si="14"/>
        <v>14.525199089874858</v>
      </c>
    </row>
    <row r="64" spans="2:14">
      <c r="B64" s="32" t="s">
        <v>49</v>
      </c>
      <c r="D64" s="89"/>
      <c r="E64" s="89">
        <f>E63*$C$59</f>
        <v>0.34497347838452791</v>
      </c>
      <c r="F64" s="89">
        <f>F63*$C$59</f>
        <v>1.3798939135381116</v>
      </c>
      <c r="G64" s="89">
        <f t="shared" ref="G64:N64" si="15">G63*$C$59</f>
        <v>1.3798939135381116</v>
      </c>
      <c r="H64" s="89">
        <f t="shared" si="15"/>
        <v>1.3798939135381116</v>
      </c>
      <c r="I64" s="89">
        <f t="shared" si="15"/>
        <v>1.3798939135381116</v>
      </c>
      <c r="J64" s="89">
        <f t="shared" si="15"/>
        <v>1.3798939135381116</v>
      </c>
      <c r="K64" s="89">
        <f t="shared" si="15"/>
        <v>1.3798939135381116</v>
      </c>
      <c r="L64" s="89">
        <f t="shared" si="15"/>
        <v>1.3798939135381116</v>
      </c>
      <c r="M64" s="89">
        <f t="shared" si="15"/>
        <v>1.3798939135381116</v>
      </c>
      <c r="N64" s="89">
        <f t="shared" si="15"/>
        <v>1.3798939135381116</v>
      </c>
    </row>
    <row r="65" spans="2:14">
      <c r="B65" s="32" t="s">
        <v>72</v>
      </c>
      <c r="D65" s="88"/>
      <c r="E65" s="89">
        <f>D65+E64</f>
        <v>0.34497347838452791</v>
      </c>
      <c r="F65" s="89">
        <f>E65+F64</f>
        <v>1.7248673919226396</v>
      </c>
      <c r="G65" s="89">
        <f t="shared" ref="G65:N65" si="16">F65+G64</f>
        <v>3.1047613054607512</v>
      </c>
      <c r="H65" s="89">
        <f t="shared" si="16"/>
        <v>4.4846552189988627</v>
      </c>
      <c r="I65" s="89">
        <f t="shared" si="16"/>
        <v>5.8645491325369745</v>
      </c>
      <c r="J65" s="89">
        <f t="shared" si="16"/>
        <v>7.2444430460750864</v>
      </c>
      <c r="K65" s="89">
        <f t="shared" si="16"/>
        <v>8.6243369596131974</v>
      </c>
      <c r="L65" s="89">
        <f t="shared" si="16"/>
        <v>10.004230873151309</v>
      </c>
      <c r="M65" s="89">
        <f t="shared" si="16"/>
        <v>11.384124786689421</v>
      </c>
      <c r="N65" s="89">
        <f t="shared" si="16"/>
        <v>12.764018700227533</v>
      </c>
    </row>
    <row r="66" spans="2:14">
      <c r="B66" s="42" t="s">
        <v>62</v>
      </c>
      <c r="C66" s="44"/>
      <c r="D66" s="167"/>
      <c r="E66" s="154">
        <f>E62-E65</f>
        <v>14.18022561149033</v>
      </c>
      <c r="F66" s="154">
        <f>F62-F65</f>
        <v>12.800331697952219</v>
      </c>
      <c r="G66" s="154">
        <f t="shared" ref="G66:N66" si="17">G62-G65</f>
        <v>11.420437784414107</v>
      </c>
      <c r="H66" s="154">
        <f t="shared" si="17"/>
        <v>10.040543870875997</v>
      </c>
      <c r="I66" s="154">
        <f t="shared" si="17"/>
        <v>8.6606499573378848</v>
      </c>
      <c r="J66" s="154">
        <f t="shared" si="17"/>
        <v>7.280756043799772</v>
      </c>
      <c r="K66" s="154">
        <f t="shared" si="17"/>
        <v>5.9008621302616611</v>
      </c>
      <c r="L66" s="154">
        <f t="shared" si="17"/>
        <v>4.5209682167235492</v>
      </c>
      <c r="M66" s="154">
        <f t="shared" si="17"/>
        <v>3.1410743031854373</v>
      </c>
      <c r="N66" s="154">
        <f t="shared" si="17"/>
        <v>1.7611803896473255</v>
      </c>
    </row>
    <row r="68" spans="2:14">
      <c r="B68" s="165" t="s">
        <v>217</v>
      </c>
      <c r="C68" s="166">
        <f>C11</f>
        <v>9.5000000000000001E-2</v>
      </c>
      <c r="D68" s="89"/>
    </row>
    <row r="69" spans="2:14">
      <c r="B69" s="32" t="s">
        <v>70</v>
      </c>
      <c r="D69" s="89"/>
      <c r="E69" s="89"/>
      <c r="F69" s="89"/>
      <c r="G69" s="89"/>
      <c r="H69" s="89"/>
      <c r="I69" s="89"/>
      <c r="J69" s="89"/>
      <c r="K69" s="89"/>
      <c r="L69" s="89"/>
      <c r="M69" s="89"/>
      <c r="N69" s="89"/>
    </row>
    <row r="70" spans="2:14">
      <c r="B70" s="32" t="s">
        <v>71</v>
      </c>
      <c r="D70" s="89"/>
      <c r="E70" s="89"/>
      <c r="F70" s="89"/>
      <c r="G70" s="89"/>
      <c r="H70" s="89"/>
      <c r="I70" s="89"/>
      <c r="J70" s="89"/>
      <c r="K70" s="89"/>
      <c r="L70" s="89"/>
      <c r="M70" s="89"/>
      <c r="N70" s="89"/>
    </row>
    <row r="71" spans="2:14">
      <c r="B71" s="32" t="s">
        <v>61</v>
      </c>
      <c r="D71" s="89"/>
      <c r="E71" s="89"/>
      <c r="F71" s="89"/>
      <c r="G71" s="89"/>
      <c r="H71" s="89"/>
      <c r="I71" s="89"/>
      <c r="J71" s="89"/>
      <c r="K71" s="89"/>
      <c r="L71" s="89"/>
      <c r="M71" s="89"/>
      <c r="N71" s="89"/>
    </row>
    <row r="72" spans="2:14">
      <c r="B72" s="32" t="s">
        <v>77</v>
      </c>
      <c r="D72" s="89"/>
      <c r="E72" s="89"/>
      <c r="F72" s="89"/>
      <c r="G72" s="89"/>
      <c r="H72" s="89"/>
      <c r="I72" s="89"/>
      <c r="J72" s="89"/>
      <c r="K72" s="89"/>
      <c r="L72" s="89"/>
      <c r="M72" s="89"/>
      <c r="N72" s="89"/>
    </row>
    <row r="73" spans="2:14">
      <c r="B73" s="32" t="s">
        <v>49</v>
      </c>
      <c r="D73" s="89"/>
      <c r="E73" s="89"/>
      <c r="F73" s="89"/>
      <c r="G73" s="89"/>
      <c r="H73" s="89"/>
      <c r="I73" s="89"/>
      <c r="J73" s="89"/>
      <c r="K73" s="89"/>
      <c r="L73" s="89"/>
      <c r="M73" s="89"/>
      <c r="N73" s="89"/>
    </row>
    <row r="74" spans="2:14">
      <c r="B74" s="32" t="s">
        <v>72</v>
      </c>
      <c r="D74" s="88"/>
      <c r="E74" s="89"/>
      <c r="F74" s="89"/>
      <c r="G74" s="89"/>
      <c r="H74" s="89"/>
      <c r="I74" s="89"/>
      <c r="J74" s="89"/>
      <c r="K74" s="89"/>
      <c r="L74" s="89"/>
      <c r="M74" s="89"/>
      <c r="N74" s="89"/>
    </row>
    <row r="75" spans="2:14">
      <c r="B75" s="42" t="s">
        <v>62</v>
      </c>
      <c r="C75" s="44"/>
      <c r="D75" s="167"/>
      <c r="E75" s="154"/>
      <c r="F75" s="154"/>
      <c r="G75" s="154"/>
      <c r="H75" s="154"/>
      <c r="I75" s="154"/>
      <c r="J75" s="154"/>
      <c r="K75" s="154"/>
      <c r="L75" s="154"/>
      <c r="M75" s="154"/>
      <c r="N75" s="154"/>
    </row>
    <row r="77" spans="2:14">
      <c r="B77" s="165" t="s">
        <v>66</v>
      </c>
      <c r="C77" s="166">
        <f>C12</f>
        <v>0.19</v>
      </c>
      <c r="D77" s="89"/>
    </row>
    <row r="78" spans="2:14">
      <c r="B78" s="32" t="s">
        <v>70</v>
      </c>
      <c r="D78" s="89"/>
      <c r="E78" s="89"/>
      <c r="F78" s="89"/>
      <c r="G78" s="89"/>
      <c r="H78" s="89"/>
      <c r="I78" s="89"/>
      <c r="J78" s="89"/>
      <c r="K78" s="89"/>
      <c r="L78" s="89"/>
      <c r="M78" s="89"/>
      <c r="N78" s="89"/>
    </row>
    <row r="79" spans="2:14">
      <c r="B79" s="32" t="s">
        <v>71</v>
      </c>
      <c r="D79" s="89"/>
      <c r="E79" s="89"/>
      <c r="F79" s="89"/>
      <c r="G79" s="89"/>
      <c r="H79" s="89"/>
      <c r="I79" s="89"/>
      <c r="J79" s="89"/>
      <c r="K79" s="89"/>
      <c r="L79" s="89"/>
      <c r="M79" s="89"/>
      <c r="N79" s="89"/>
    </row>
    <row r="80" spans="2:14">
      <c r="B80" s="32" t="s">
        <v>61</v>
      </c>
      <c r="D80" s="89"/>
      <c r="E80" s="89"/>
      <c r="F80" s="89"/>
      <c r="G80" s="89"/>
      <c r="H80" s="89"/>
      <c r="I80" s="89"/>
      <c r="J80" s="89"/>
      <c r="K80" s="89"/>
      <c r="L80" s="89"/>
      <c r="M80" s="89"/>
      <c r="N80" s="89"/>
    </row>
    <row r="81" spans="2:14">
      <c r="B81" s="32" t="s">
        <v>77</v>
      </c>
      <c r="D81" s="89"/>
      <c r="E81" s="89"/>
      <c r="F81" s="89"/>
      <c r="G81" s="89"/>
      <c r="H81" s="89"/>
      <c r="I81" s="89"/>
      <c r="J81" s="89"/>
      <c r="K81" s="89"/>
      <c r="L81" s="89"/>
      <c r="M81" s="89"/>
      <c r="N81" s="89"/>
    </row>
    <row r="82" spans="2:14">
      <c r="B82" s="32" t="s">
        <v>49</v>
      </c>
      <c r="D82" s="89"/>
      <c r="E82" s="89"/>
      <c r="F82" s="89"/>
      <c r="G82" s="89"/>
      <c r="H82" s="89"/>
      <c r="I82" s="89"/>
      <c r="J82" s="89"/>
      <c r="K82" s="89"/>
      <c r="L82" s="89"/>
      <c r="M82" s="89"/>
      <c r="N82" s="89"/>
    </row>
    <row r="83" spans="2:14">
      <c r="B83" s="32" t="s">
        <v>72</v>
      </c>
      <c r="D83" s="88"/>
      <c r="E83" s="89"/>
      <c r="F83" s="89"/>
      <c r="G83" s="89"/>
      <c r="H83" s="89"/>
      <c r="I83" s="89"/>
      <c r="J83" s="89"/>
      <c r="K83" s="89"/>
      <c r="L83" s="89"/>
      <c r="M83" s="89"/>
      <c r="N83" s="89"/>
    </row>
    <row r="84" spans="2:14">
      <c r="B84" s="42" t="s">
        <v>62</v>
      </c>
      <c r="C84" s="44"/>
      <c r="D84" s="167"/>
      <c r="E84" s="154"/>
      <c r="F84" s="154"/>
      <c r="G84" s="154"/>
      <c r="H84" s="154"/>
      <c r="I84" s="154"/>
      <c r="J84" s="154"/>
      <c r="K84" s="154"/>
      <c r="L84" s="154"/>
      <c r="M84" s="154"/>
      <c r="N84" s="154"/>
    </row>
    <row r="87" spans="2:14">
      <c r="B87" s="165" t="s">
        <v>73</v>
      </c>
      <c r="C87" s="166">
        <f>C13</f>
        <v>0.1583</v>
      </c>
      <c r="D87" s="89"/>
    </row>
    <row r="88" spans="2:14">
      <c r="B88" s="32" t="s">
        <v>70</v>
      </c>
      <c r="D88" s="89"/>
      <c r="E88" s="89">
        <v>0</v>
      </c>
      <c r="F88" s="89">
        <f>E90</f>
        <v>1.0375142207053469</v>
      </c>
      <c r="G88" s="89">
        <f t="shared" ref="G88:N88" si="18">F90</f>
        <v>1.0375142207053469</v>
      </c>
      <c r="H88" s="89">
        <f t="shared" si="18"/>
        <v>1.0375142207053469</v>
      </c>
      <c r="I88" s="89">
        <f t="shared" si="18"/>
        <v>1.0375142207053469</v>
      </c>
      <c r="J88" s="89">
        <f t="shared" si="18"/>
        <v>1.0375142207053469</v>
      </c>
      <c r="K88" s="89">
        <f t="shared" si="18"/>
        <v>1.0375142207053469</v>
      </c>
      <c r="L88" s="89">
        <f t="shared" si="18"/>
        <v>1.0375142207053469</v>
      </c>
      <c r="M88" s="89">
        <f t="shared" si="18"/>
        <v>1.0375142207053469</v>
      </c>
      <c r="N88" s="89">
        <f t="shared" si="18"/>
        <v>1.0375142207053469</v>
      </c>
    </row>
    <row r="89" spans="2:14">
      <c r="B89" s="32" t="s">
        <v>71</v>
      </c>
      <c r="D89" s="89"/>
      <c r="E89" s="89">
        <f>E13</f>
        <v>1.0375142207053469</v>
      </c>
      <c r="F89" s="89"/>
      <c r="G89" s="89"/>
      <c r="H89" s="89"/>
      <c r="I89" s="89"/>
      <c r="J89" s="89"/>
      <c r="K89" s="89"/>
      <c r="L89" s="89"/>
      <c r="M89" s="89"/>
      <c r="N89" s="89"/>
    </row>
    <row r="90" spans="2:14">
      <c r="B90" s="32" t="s">
        <v>61</v>
      </c>
      <c r="D90" s="89"/>
      <c r="E90" s="89">
        <f>E88+E89</f>
        <v>1.0375142207053469</v>
      </c>
      <c r="F90" s="89">
        <f>F88+F89</f>
        <v>1.0375142207053469</v>
      </c>
      <c r="G90" s="89">
        <f t="shared" ref="G90:N90" si="19">G88+G89</f>
        <v>1.0375142207053469</v>
      </c>
      <c r="H90" s="89">
        <f t="shared" si="19"/>
        <v>1.0375142207053469</v>
      </c>
      <c r="I90" s="89">
        <f t="shared" si="19"/>
        <v>1.0375142207053469</v>
      </c>
      <c r="J90" s="89">
        <f t="shared" si="19"/>
        <v>1.0375142207053469</v>
      </c>
      <c r="K90" s="89">
        <f t="shared" si="19"/>
        <v>1.0375142207053469</v>
      </c>
      <c r="L90" s="89">
        <f t="shared" si="19"/>
        <v>1.0375142207053469</v>
      </c>
      <c r="M90" s="89">
        <f t="shared" si="19"/>
        <v>1.0375142207053469</v>
      </c>
      <c r="N90" s="89">
        <f t="shared" si="19"/>
        <v>1.0375142207053469</v>
      </c>
    </row>
    <row r="91" spans="2:14">
      <c r="B91" s="32" t="s">
        <v>77</v>
      </c>
      <c r="D91" s="89"/>
      <c r="E91" s="89">
        <f>E90/12*E20</f>
        <v>0.25937855517633673</v>
      </c>
      <c r="F91" s="89">
        <f>F90/12*F20</f>
        <v>1.0375142207053469</v>
      </c>
      <c r="G91" s="89">
        <f t="shared" ref="G91:N91" si="20">G90/12*G20</f>
        <v>1.0375142207053469</v>
      </c>
      <c r="H91" s="89">
        <f t="shared" si="20"/>
        <v>1.0375142207053469</v>
      </c>
      <c r="I91" s="89">
        <f t="shared" si="20"/>
        <v>1.0375142207053469</v>
      </c>
      <c r="J91" s="89">
        <f t="shared" si="20"/>
        <v>1.0375142207053469</v>
      </c>
      <c r="K91" s="89">
        <f t="shared" si="20"/>
        <v>1.0375142207053469</v>
      </c>
      <c r="L91" s="89">
        <f t="shared" si="20"/>
        <v>1.0375142207053469</v>
      </c>
      <c r="M91" s="89">
        <f t="shared" si="20"/>
        <v>1.0375142207053469</v>
      </c>
      <c r="N91" s="89">
        <f t="shared" si="20"/>
        <v>1.0375142207053469</v>
      </c>
    </row>
    <row r="92" spans="2:14">
      <c r="B92" s="32" t="s">
        <v>49</v>
      </c>
      <c r="D92" s="89"/>
      <c r="E92" s="89">
        <f>E91*$C$87</f>
        <v>4.1059625284414106E-2</v>
      </c>
      <c r="F92" s="89">
        <f>F91*$C$87</f>
        <v>0.16423850113765642</v>
      </c>
      <c r="G92" s="89">
        <f t="shared" ref="G92:K92" si="21">G91*$C$87</f>
        <v>0.16423850113765642</v>
      </c>
      <c r="H92" s="89">
        <f t="shared" si="21"/>
        <v>0.16423850113765642</v>
      </c>
      <c r="I92" s="89">
        <f t="shared" si="21"/>
        <v>0.16423850113765642</v>
      </c>
      <c r="J92" s="89">
        <f t="shared" si="21"/>
        <v>0.16423850113765642</v>
      </c>
      <c r="K92" s="89">
        <f t="shared" si="21"/>
        <v>0.16423850113765642</v>
      </c>
      <c r="L92" s="257">
        <f>MIN(L91*$C$87,K94)</f>
        <v>1.1023588594994527E-2</v>
      </c>
      <c r="M92" s="89">
        <f t="shared" ref="M92:N92" si="22">MIN(M91*$C$87,L94)</f>
        <v>0</v>
      </c>
      <c r="N92" s="89">
        <f t="shared" si="22"/>
        <v>0</v>
      </c>
    </row>
    <row r="93" spans="2:14">
      <c r="B93" s="32" t="s">
        <v>72</v>
      </c>
      <c r="D93" s="88"/>
      <c r="E93" s="89">
        <f>D93+E92</f>
        <v>4.1059625284414106E-2</v>
      </c>
      <c r="F93" s="89">
        <f>E93+F92</f>
        <v>0.20529812642207051</v>
      </c>
      <c r="G93" s="89">
        <f t="shared" ref="G93:L93" si="23">F93+G92</f>
        <v>0.36953662755972694</v>
      </c>
      <c r="H93" s="89">
        <f t="shared" si="23"/>
        <v>0.53377512869738331</v>
      </c>
      <c r="I93" s="89">
        <f t="shared" si="23"/>
        <v>0.69801362983503967</v>
      </c>
      <c r="J93" s="89">
        <f t="shared" si="23"/>
        <v>0.86225213097269604</v>
      </c>
      <c r="K93" s="89">
        <f t="shared" si="23"/>
        <v>1.0264906321103524</v>
      </c>
      <c r="L93" s="89">
        <f t="shared" si="23"/>
        <v>1.0375142207053469</v>
      </c>
      <c r="M93" s="89">
        <f t="shared" ref="M93" si="24">L93+M92</f>
        <v>1.0375142207053469</v>
      </c>
      <c r="N93" s="89">
        <f t="shared" ref="N93" si="25">M93+N92</f>
        <v>1.0375142207053469</v>
      </c>
    </row>
    <row r="94" spans="2:14">
      <c r="B94" s="42" t="s">
        <v>62</v>
      </c>
      <c r="C94" s="44"/>
      <c r="D94" s="167"/>
      <c r="E94" s="154">
        <f>E90-E93</f>
        <v>0.99645459542093284</v>
      </c>
      <c r="F94" s="154">
        <f>F90-F93</f>
        <v>0.83221609428327636</v>
      </c>
      <c r="G94" s="154">
        <f t="shared" ref="G94:N94" si="26">G90-G93</f>
        <v>0.66797759314562</v>
      </c>
      <c r="H94" s="154">
        <f t="shared" si="26"/>
        <v>0.50373909200796363</v>
      </c>
      <c r="I94" s="154">
        <f t="shared" si="26"/>
        <v>0.33950059087030726</v>
      </c>
      <c r="J94" s="154">
        <f t="shared" si="26"/>
        <v>0.17526208973265089</v>
      </c>
      <c r="K94" s="154">
        <f t="shared" si="26"/>
        <v>1.1023588594994527E-2</v>
      </c>
      <c r="L94" s="154">
        <f t="shared" si="26"/>
        <v>0</v>
      </c>
      <c r="M94" s="154">
        <f t="shared" si="26"/>
        <v>0</v>
      </c>
      <c r="N94" s="154">
        <f t="shared" si="26"/>
        <v>0</v>
      </c>
    </row>
    <row r="97" spans="2:14">
      <c r="B97" s="165" t="s">
        <v>74</v>
      </c>
      <c r="C97" s="166">
        <f>C14</f>
        <v>9.5000000000000001E-2</v>
      </c>
      <c r="D97" s="89"/>
    </row>
    <row r="98" spans="2:14">
      <c r="B98" s="32" t="s">
        <v>70</v>
      </c>
      <c r="D98" s="89"/>
      <c r="E98" s="89">
        <v>0</v>
      </c>
      <c r="F98" s="89">
        <f>E100</f>
        <v>2.0750284414106939</v>
      </c>
      <c r="G98" s="89">
        <f t="shared" ref="G98:N98" si="27">F100</f>
        <v>2.0750284414106939</v>
      </c>
      <c r="H98" s="89">
        <f t="shared" si="27"/>
        <v>2.0750284414106939</v>
      </c>
      <c r="I98" s="89">
        <f t="shared" si="27"/>
        <v>2.0750284414106939</v>
      </c>
      <c r="J98" s="89">
        <f t="shared" si="27"/>
        <v>2.0750284414106939</v>
      </c>
      <c r="K98" s="89">
        <f t="shared" si="27"/>
        <v>2.0750284414106939</v>
      </c>
      <c r="L98" s="89">
        <f t="shared" si="27"/>
        <v>2.0750284414106939</v>
      </c>
      <c r="M98" s="89">
        <f t="shared" si="27"/>
        <v>2.0750284414106939</v>
      </c>
      <c r="N98" s="89">
        <f t="shared" si="27"/>
        <v>2.0750284414106939</v>
      </c>
    </row>
    <row r="99" spans="2:14">
      <c r="B99" s="32" t="s">
        <v>71</v>
      </c>
      <c r="D99" s="89"/>
      <c r="E99" s="89">
        <f>E14</f>
        <v>2.0750284414106939</v>
      </c>
      <c r="F99" s="89"/>
      <c r="G99" s="89"/>
      <c r="H99" s="89"/>
      <c r="I99" s="89"/>
      <c r="J99" s="89"/>
      <c r="K99" s="89"/>
      <c r="L99" s="89"/>
      <c r="M99" s="89"/>
      <c r="N99" s="89"/>
    </row>
    <row r="100" spans="2:14">
      <c r="B100" s="32" t="s">
        <v>61</v>
      </c>
      <c r="D100" s="89"/>
      <c r="E100" s="89">
        <f>E98+E99</f>
        <v>2.0750284414106939</v>
      </c>
      <c r="F100" s="89">
        <f>F98+F99</f>
        <v>2.0750284414106939</v>
      </c>
      <c r="G100" s="89">
        <f t="shared" ref="G100:N100" si="28">G98+G99</f>
        <v>2.0750284414106939</v>
      </c>
      <c r="H100" s="89">
        <f t="shared" si="28"/>
        <v>2.0750284414106939</v>
      </c>
      <c r="I100" s="89">
        <f t="shared" si="28"/>
        <v>2.0750284414106939</v>
      </c>
      <c r="J100" s="89">
        <f t="shared" si="28"/>
        <v>2.0750284414106939</v>
      </c>
      <c r="K100" s="89">
        <f t="shared" si="28"/>
        <v>2.0750284414106939</v>
      </c>
      <c r="L100" s="89">
        <f t="shared" si="28"/>
        <v>2.0750284414106939</v>
      </c>
      <c r="M100" s="89">
        <f t="shared" si="28"/>
        <v>2.0750284414106939</v>
      </c>
      <c r="N100" s="89">
        <f t="shared" si="28"/>
        <v>2.0750284414106939</v>
      </c>
    </row>
    <row r="101" spans="2:14">
      <c r="B101" s="32" t="s">
        <v>77</v>
      </c>
      <c r="D101" s="89"/>
      <c r="E101" s="89">
        <f>E100/12*E20</f>
        <v>0.51875711035267347</v>
      </c>
      <c r="F101" s="89">
        <f>F100/12*F20</f>
        <v>2.0750284414106939</v>
      </c>
      <c r="G101" s="89">
        <f t="shared" ref="G101:N101" si="29">G100/12*G20</f>
        <v>2.0750284414106939</v>
      </c>
      <c r="H101" s="89">
        <f t="shared" si="29"/>
        <v>2.0750284414106939</v>
      </c>
      <c r="I101" s="89">
        <f t="shared" si="29"/>
        <v>2.0750284414106939</v>
      </c>
      <c r="J101" s="89">
        <f t="shared" si="29"/>
        <v>2.0750284414106939</v>
      </c>
      <c r="K101" s="89">
        <f t="shared" si="29"/>
        <v>2.0750284414106939</v>
      </c>
      <c r="L101" s="89">
        <f t="shared" si="29"/>
        <v>2.0750284414106939</v>
      </c>
      <c r="M101" s="89">
        <f t="shared" si="29"/>
        <v>2.0750284414106939</v>
      </c>
      <c r="N101" s="89">
        <f t="shared" si="29"/>
        <v>2.0750284414106939</v>
      </c>
    </row>
    <row r="102" spans="2:14">
      <c r="B102" s="32" t="s">
        <v>49</v>
      </c>
      <c r="D102" s="89"/>
      <c r="E102" s="89">
        <f>E101*$C$97</f>
        <v>4.9281925483503977E-2</v>
      </c>
      <c r="F102" s="89">
        <f>F101*$C$97</f>
        <v>0.19712770193401591</v>
      </c>
      <c r="G102" s="89">
        <f t="shared" ref="G102:N102" si="30">G101*$C$97</f>
        <v>0.19712770193401591</v>
      </c>
      <c r="H102" s="89">
        <f t="shared" si="30"/>
        <v>0.19712770193401591</v>
      </c>
      <c r="I102" s="89">
        <f t="shared" si="30"/>
        <v>0.19712770193401591</v>
      </c>
      <c r="J102" s="89">
        <f t="shared" si="30"/>
        <v>0.19712770193401591</v>
      </c>
      <c r="K102" s="89">
        <f t="shared" si="30"/>
        <v>0.19712770193401591</v>
      </c>
      <c r="L102" s="89">
        <f t="shared" si="30"/>
        <v>0.19712770193401591</v>
      </c>
      <c r="M102" s="89">
        <f t="shared" si="30"/>
        <v>0.19712770193401591</v>
      </c>
      <c r="N102" s="89">
        <f t="shared" si="30"/>
        <v>0.19712770193401591</v>
      </c>
    </row>
    <row r="103" spans="2:14">
      <c r="B103" s="32" t="s">
        <v>72</v>
      </c>
      <c r="D103" s="88"/>
      <c r="E103" s="89">
        <f>D103+E102</f>
        <v>4.9281925483503977E-2</v>
      </c>
      <c r="F103" s="89">
        <f>E103+F102</f>
        <v>0.24640962741751987</v>
      </c>
      <c r="G103" s="89">
        <f t="shared" ref="G103:N103" si="31">F103+G102</f>
        <v>0.44353732935153578</v>
      </c>
      <c r="H103" s="89">
        <f t="shared" si="31"/>
        <v>0.64066503128555174</v>
      </c>
      <c r="I103" s="89">
        <f t="shared" si="31"/>
        <v>0.8377927332195676</v>
      </c>
      <c r="J103" s="89">
        <f t="shared" si="31"/>
        <v>1.0349204351535835</v>
      </c>
      <c r="K103" s="89">
        <f t="shared" si="31"/>
        <v>1.2320481370875993</v>
      </c>
      <c r="L103" s="89">
        <f t="shared" si="31"/>
        <v>1.4291758390216152</v>
      </c>
      <c r="M103" s="89">
        <f t="shared" si="31"/>
        <v>1.626303540955631</v>
      </c>
      <c r="N103" s="89">
        <f t="shared" si="31"/>
        <v>1.8234312428896469</v>
      </c>
    </row>
    <row r="104" spans="2:14">
      <c r="B104" s="42" t="s">
        <v>62</v>
      </c>
      <c r="C104" s="44"/>
      <c r="D104" s="167"/>
      <c r="E104" s="154">
        <f>E100-E103</f>
        <v>2.0257465159271897</v>
      </c>
      <c r="F104" s="154">
        <f>F100-F103</f>
        <v>1.8286188139931741</v>
      </c>
      <c r="G104" s="154">
        <f t="shared" ref="G104:N104" si="32">G100-G103</f>
        <v>1.631491112059158</v>
      </c>
      <c r="H104" s="154">
        <f t="shared" si="32"/>
        <v>1.4343634101251421</v>
      </c>
      <c r="I104" s="154">
        <f t="shared" si="32"/>
        <v>1.2372357081911263</v>
      </c>
      <c r="J104" s="154">
        <f t="shared" si="32"/>
        <v>1.0401080062571104</v>
      </c>
      <c r="K104" s="154">
        <f t="shared" si="32"/>
        <v>0.84298030432309456</v>
      </c>
      <c r="L104" s="154">
        <f t="shared" si="32"/>
        <v>0.64585260238907871</v>
      </c>
      <c r="M104" s="154">
        <f t="shared" si="32"/>
        <v>0.44872490045506286</v>
      </c>
      <c r="N104" s="154">
        <f t="shared" si="32"/>
        <v>0.25159719852104701</v>
      </c>
    </row>
    <row r="107" spans="2:14">
      <c r="B107" s="168" t="s">
        <v>75</v>
      </c>
      <c r="C107" s="165"/>
    </row>
    <row r="108" spans="2:14">
      <c r="B108" s="32" t="s">
        <v>70</v>
      </c>
      <c r="E108" s="27">
        <f>E98+E88+E60+E50+E23</f>
        <v>0</v>
      </c>
      <c r="F108" s="27">
        <f t="shared" ref="F108:N108" si="33">F98+F88+F60+F50+F23</f>
        <v>151.99583333333334</v>
      </c>
      <c r="G108" s="27">
        <f t="shared" si="33"/>
        <v>151.99583333333334</v>
      </c>
      <c r="H108" s="27">
        <f t="shared" si="33"/>
        <v>151.99583333333334</v>
      </c>
      <c r="I108" s="27">
        <f t="shared" si="33"/>
        <v>151.99583333333334</v>
      </c>
      <c r="J108" s="27">
        <f t="shared" si="33"/>
        <v>151.99583333333334</v>
      </c>
      <c r="K108" s="27">
        <f t="shared" si="33"/>
        <v>151.99583333333334</v>
      </c>
      <c r="L108" s="27">
        <f t="shared" si="33"/>
        <v>151.99583333333334</v>
      </c>
      <c r="M108" s="27">
        <f t="shared" si="33"/>
        <v>151.99583333333334</v>
      </c>
      <c r="N108" s="27">
        <f t="shared" si="33"/>
        <v>151.99583333333334</v>
      </c>
    </row>
    <row r="109" spans="2:14">
      <c r="B109" s="32" t="s">
        <v>71</v>
      </c>
      <c r="E109" s="27">
        <f t="shared" ref="E109:N109" si="34">E99+E89+E61+E51+E24</f>
        <v>151.99583333333334</v>
      </c>
      <c r="F109" s="27">
        <f t="shared" si="34"/>
        <v>0</v>
      </c>
      <c r="G109" s="27">
        <f t="shared" si="34"/>
        <v>0</v>
      </c>
      <c r="H109" s="27">
        <f t="shared" si="34"/>
        <v>0</v>
      </c>
      <c r="I109" s="27">
        <f t="shared" si="34"/>
        <v>0</v>
      </c>
      <c r="J109" s="27">
        <f t="shared" si="34"/>
        <v>0</v>
      </c>
      <c r="K109" s="27">
        <f t="shared" si="34"/>
        <v>0</v>
      </c>
      <c r="L109" s="27">
        <f t="shared" si="34"/>
        <v>0</v>
      </c>
      <c r="M109" s="27">
        <f t="shared" si="34"/>
        <v>0</v>
      </c>
      <c r="N109" s="27">
        <f t="shared" si="34"/>
        <v>0</v>
      </c>
    </row>
    <row r="110" spans="2:14">
      <c r="B110" s="32" t="s">
        <v>61</v>
      </c>
      <c r="E110" s="27">
        <f t="shared" ref="E110:N110" si="35">E100+E90+E62+E52+E25</f>
        <v>151.99583333333334</v>
      </c>
      <c r="F110" s="27">
        <f t="shared" si="35"/>
        <v>151.99583333333334</v>
      </c>
      <c r="G110" s="27">
        <f t="shared" si="35"/>
        <v>151.99583333333334</v>
      </c>
      <c r="H110" s="27">
        <f t="shared" si="35"/>
        <v>151.99583333333334</v>
      </c>
      <c r="I110" s="27">
        <f t="shared" si="35"/>
        <v>151.99583333333334</v>
      </c>
      <c r="J110" s="27">
        <f t="shared" si="35"/>
        <v>151.99583333333334</v>
      </c>
      <c r="K110" s="27">
        <f t="shared" si="35"/>
        <v>151.99583333333334</v>
      </c>
      <c r="L110" s="27">
        <f t="shared" si="35"/>
        <v>151.99583333333334</v>
      </c>
      <c r="M110" s="27">
        <f t="shared" si="35"/>
        <v>151.99583333333334</v>
      </c>
      <c r="N110" s="27">
        <f t="shared" si="35"/>
        <v>151.99583333333334</v>
      </c>
    </row>
    <row r="111" spans="2:14">
      <c r="B111" s="32" t="s">
        <v>77</v>
      </c>
      <c r="D111" s="27"/>
      <c r="E111" s="27">
        <f t="shared" ref="E111:N111" si="36">E101+E91+E63+E53+E26</f>
        <v>37.998958333333327</v>
      </c>
      <c r="F111" s="27">
        <f t="shared" si="36"/>
        <v>151.99583333333331</v>
      </c>
      <c r="G111" s="27">
        <f t="shared" si="36"/>
        <v>151.99583333333331</v>
      </c>
      <c r="H111" s="27">
        <f t="shared" si="36"/>
        <v>151.99583333333331</v>
      </c>
      <c r="I111" s="27">
        <f t="shared" si="36"/>
        <v>151.99583333333331</v>
      </c>
      <c r="J111" s="27">
        <f t="shared" si="36"/>
        <v>151.99583333333331</v>
      </c>
      <c r="K111" s="27">
        <f t="shared" si="36"/>
        <v>151.99583333333331</v>
      </c>
      <c r="L111" s="27">
        <f t="shared" si="36"/>
        <v>151.99583333333331</v>
      </c>
      <c r="M111" s="27">
        <f t="shared" si="36"/>
        <v>151.99583333333331</v>
      </c>
      <c r="N111" s="27">
        <f t="shared" si="36"/>
        <v>151.99583333333331</v>
      </c>
    </row>
    <row r="112" spans="2:14">
      <c r="B112" s="32" t="s">
        <v>49</v>
      </c>
      <c r="E112" s="27">
        <f t="shared" ref="E112:N112" si="37">E102+E92+E64+E54+E27</f>
        <v>2.4055545342718996</v>
      </c>
      <c r="F112" s="27">
        <f t="shared" si="37"/>
        <v>9.6222181370875983</v>
      </c>
      <c r="G112" s="27">
        <f t="shared" si="37"/>
        <v>9.6222181370875983</v>
      </c>
      <c r="H112" s="27">
        <f t="shared" si="37"/>
        <v>9.6222181370875983</v>
      </c>
      <c r="I112" s="27">
        <f t="shared" si="37"/>
        <v>9.6222181370875983</v>
      </c>
      <c r="J112" s="27">
        <f t="shared" si="37"/>
        <v>9.6222181370875983</v>
      </c>
      <c r="K112" s="27">
        <f t="shared" si="37"/>
        <v>9.6222181370875983</v>
      </c>
      <c r="L112" s="27">
        <f t="shared" si="37"/>
        <v>9.4690032245449363</v>
      </c>
      <c r="M112" s="27">
        <f t="shared" si="37"/>
        <v>9.4579796359499415</v>
      </c>
      <c r="N112" s="27">
        <f t="shared" si="37"/>
        <v>9.4579796359499415</v>
      </c>
    </row>
    <row r="113" spans="2:14">
      <c r="B113" s="32" t="s">
        <v>72</v>
      </c>
      <c r="E113" s="27">
        <f t="shared" ref="E113:N113" si="38">E103+E93+E65+E55+E28</f>
        <v>2.4055545342718996</v>
      </c>
      <c r="F113" s="27">
        <f t="shared" si="38"/>
        <v>12.027772671359498</v>
      </c>
      <c r="G113" s="27">
        <f t="shared" si="38"/>
        <v>21.6499908084471</v>
      </c>
      <c r="H113" s="27">
        <f t="shared" si="38"/>
        <v>31.272208945534693</v>
      </c>
      <c r="I113" s="27">
        <f t="shared" si="38"/>
        <v>40.894427082622293</v>
      </c>
      <c r="J113" s="27">
        <f t="shared" si="38"/>
        <v>50.516645219709886</v>
      </c>
      <c r="K113" s="27">
        <f t="shared" si="38"/>
        <v>60.138863356797486</v>
      </c>
      <c r="L113" s="27">
        <f t="shared" si="38"/>
        <v>69.607866581342421</v>
      </c>
      <c r="M113" s="27">
        <f t="shared" si="38"/>
        <v>79.065846217292375</v>
      </c>
      <c r="N113" s="27">
        <f t="shared" si="38"/>
        <v>88.523825853242315</v>
      </c>
    </row>
    <row r="114" spans="2:14">
      <c r="B114" s="42" t="s">
        <v>62</v>
      </c>
      <c r="C114" s="44"/>
      <c r="D114" s="144">
        <f>D29+D38+D47+D56</f>
        <v>0</v>
      </c>
      <c r="E114" s="144">
        <f t="shared" ref="E114:N114" si="39">E104+E94+E66+E56+E29</f>
        <v>149.59027879906145</v>
      </c>
      <c r="F114" s="144">
        <f t="shared" si="39"/>
        <v>139.96806066197382</v>
      </c>
      <c r="G114" s="144">
        <f t="shared" si="39"/>
        <v>130.34584252488625</v>
      </c>
      <c r="H114" s="144">
        <f t="shared" si="39"/>
        <v>120.72362438779864</v>
      </c>
      <c r="I114" s="144">
        <f t="shared" si="39"/>
        <v>111.10140625071104</v>
      </c>
      <c r="J114" s="144">
        <f t="shared" si="39"/>
        <v>101.47918811362345</v>
      </c>
      <c r="K114" s="144">
        <f t="shared" si="39"/>
        <v>91.856969976535851</v>
      </c>
      <c r="L114" s="144">
        <f t="shared" si="39"/>
        <v>82.387966751990916</v>
      </c>
      <c r="M114" s="144">
        <f t="shared" si="39"/>
        <v>72.929987116040977</v>
      </c>
      <c r="N114" s="144">
        <f t="shared" si="39"/>
        <v>63.47200748009103</v>
      </c>
    </row>
    <row r="115" spans="2:14">
      <c r="B115" s="158" t="s">
        <v>76</v>
      </c>
      <c r="C115" s="159"/>
      <c r="D115" s="160"/>
      <c r="E115" s="160">
        <f>$E$110-SUM(E103,E93,E83,E74,E65,E55,E46,E37,E28)-E114</f>
        <v>0</v>
      </c>
      <c r="F115" s="160">
        <f t="shared" ref="F115:N115" si="40">$E$110-SUM(F103,F93,F83,F74,F65,F55,F46,F37,F28)-F114</f>
        <v>0</v>
      </c>
      <c r="G115" s="160">
        <f t="shared" si="40"/>
        <v>0</v>
      </c>
      <c r="H115" s="160">
        <f t="shared" si="40"/>
        <v>0</v>
      </c>
      <c r="I115" s="160">
        <f t="shared" si="40"/>
        <v>0</v>
      </c>
      <c r="J115" s="160">
        <f t="shared" si="40"/>
        <v>0</v>
      </c>
      <c r="K115" s="160">
        <f t="shared" si="40"/>
        <v>0</v>
      </c>
      <c r="L115" s="160">
        <f t="shared" si="40"/>
        <v>0</v>
      </c>
      <c r="M115" s="160">
        <f t="shared" si="40"/>
        <v>0</v>
      </c>
      <c r="N115" s="160">
        <f t="shared" si="40"/>
        <v>0</v>
      </c>
    </row>
    <row r="116" spans="2:14">
      <c r="E116" s="161"/>
      <c r="F116" s="161"/>
      <c r="G116" s="161"/>
      <c r="H116" s="161"/>
      <c r="I116" s="161"/>
      <c r="J116" s="161"/>
      <c r="K116" s="161"/>
      <c r="L116" s="161"/>
    </row>
    <row r="118" spans="2:14">
      <c r="B118" s="37" t="s">
        <v>78</v>
      </c>
      <c r="C118" s="37"/>
      <c r="D118" s="37"/>
      <c r="E118" s="37"/>
      <c r="F118" s="37"/>
      <c r="G118" s="37"/>
      <c r="H118" s="37"/>
      <c r="I118" s="37"/>
      <c r="J118" s="37"/>
      <c r="K118" s="37"/>
      <c r="L118" s="37"/>
      <c r="M118" s="37"/>
      <c r="N118" s="37"/>
    </row>
    <row r="119" spans="2:14">
      <c r="B119" s="2" t="s">
        <v>69</v>
      </c>
      <c r="E119" s="35">
        <f t="shared" ref="E119:L119" si="41">E19</f>
        <v>44286</v>
      </c>
      <c r="F119" s="35">
        <f t="shared" si="41"/>
        <v>44651</v>
      </c>
      <c r="G119" s="35">
        <f t="shared" si="41"/>
        <v>45016</v>
      </c>
      <c r="H119" s="35">
        <f t="shared" si="41"/>
        <v>45382</v>
      </c>
      <c r="I119" s="35">
        <f t="shared" si="41"/>
        <v>45747</v>
      </c>
      <c r="J119" s="35">
        <f t="shared" si="41"/>
        <v>46112</v>
      </c>
      <c r="K119" s="35">
        <f t="shared" si="41"/>
        <v>46477</v>
      </c>
      <c r="L119" s="35">
        <f t="shared" si="41"/>
        <v>46843</v>
      </c>
      <c r="M119" s="35">
        <f t="shared" ref="M119:N119" si="42">M19</f>
        <v>47208</v>
      </c>
      <c r="N119" s="35">
        <f t="shared" si="42"/>
        <v>47573</v>
      </c>
    </row>
    <row r="120" spans="2:14">
      <c r="B120" s="44" t="s">
        <v>214</v>
      </c>
      <c r="C120" s="44"/>
      <c r="D120" s="44"/>
      <c r="E120" s="263">
        <f>IF(E20&gt;6,12,6)</f>
        <v>6</v>
      </c>
      <c r="F120" s="44">
        <f t="shared" ref="F120:L120" si="43">IF(F20&gt;6,12,6)</f>
        <v>12</v>
      </c>
      <c r="G120" s="44">
        <f t="shared" si="43"/>
        <v>12</v>
      </c>
      <c r="H120" s="44">
        <f t="shared" si="43"/>
        <v>12</v>
      </c>
      <c r="I120" s="44">
        <f t="shared" si="43"/>
        <v>12</v>
      </c>
      <c r="J120" s="44">
        <f t="shared" si="43"/>
        <v>12</v>
      </c>
      <c r="K120" s="44">
        <f t="shared" si="43"/>
        <v>12</v>
      </c>
      <c r="L120" s="44">
        <f t="shared" si="43"/>
        <v>12</v>
      </c>
      <c r="M120" s="44">
        <f t="shared" ref="M120:N120" si="44">IF(M20&gt;6,12,6)</f>
        <v>12</v>
      </c>
      <c r="N120" s="44">
        <f t="shared" si="44"/>
        <v>12</v>
      </c>
    </row>
    <row r="122" spans="2:14">
      <c r="B122" s="165" t="s">
        <v>30</v>
      </c>
      <c r="C122" s="166">
        <f>D6</f>
        <v>0</v>
      </c>
    </row>
    <row r="123" spans="2:14">
      <c r="B123" s="32" t="s">
        <v>70</v>
      </c>
      <c r="E123" s="89">
        <v>0</v>
      </c>
      <c r="F123" s="89">
        <f>E127</f>
        <v>9.8563850967007962</v>
      </c>
      <c r="G123" s="89">
        <f t="shared" ref="G123:N123" si="45">F127</f>
        <v>9.8563850967007962</v>
      </c>
      <c r="H123" s="89">
        <f t="shared" si="45"/>
        <v>9.8563850967007962</v>
      </c>
      <c r="I123" s="89">
        <f t="shared" si="45"/>
        <v>9.8563850967007962</v>
      </c>
      <c r="J123" s="89">
        <f t="shared" si="45"/>
        <v>9.8563850967007962</v>
      </c>
      <c r="K123" s="89">
        <f t="shared" si="45"/>
        <v>9.8563850967007962</v>
      </c>
      <c r="L123" s="89">
        <f t="shared" si="45"/>
        <v>9.8563850967007962</v>
      </c>
      <c r="M123" s="89">
        <f t="shared" si="45"/>
        <v>9.8563850967007962</v>
      </c>
      <c r="N123" s="89">
        <f t="shared" si="45"/>
        <v>9.8563850967007962</v>
      </c>
    </row>
    <row r="124" spans="2:14">
      <c r="B124" s="32" t="s">
        <v>71</v>
      </c>
      <c r="E124" s="89">
        <f>E6</f>
        <v>9.8563850967007962</v>
      </c>
      <c r="F124" s="89"/>
      <c r="G124" s="89"/>
      <c r="H124" s="89"/>
      <c r="I124" s="89"/>
      <c r="J124" s="89"/>
      <c r="K124" s="89"/>
      <c r="L124" s="89"/>
      <c r="M124" s="89"/>
      <c r="N124" s="89"/>
    </row>
    <row r="125" spans="2:14">
      <c r="B125" s="32" t="s">
        <v>79</v>
      </c>
      <c r="E125" s="89">
        <f>(E123+E124)/12*E$120</f>
        <v>4.9281925483503981</v>
      </c>
      <c r="F125" s="89">
        <f>(F123+F124)/12*F$120</f>
        <v>9.8563850967007962</v>
      </c>
      <c r="G125" s="89">
        <f t="shared" ref="G125:N125" si="46">(G123+G124)/12*G$120</f>
        <v>9.8563850967007962</v>
      </c>
      <c r="H125" s="89">
        <f t="shared" si="46"/>
        <v>9.8563850967007962</v>
      </c>
      <c r="I125" s="89">
        <f t="shared" si="46"/>
        <v>9.8563850967007962</v>
      </c>
      <c r="J125" s="89">
        <f t="shared" si="46"/>
        <v>9.8563850967007962</v>
      </c>
      <c r="K125" s="89">
        <f t="shared" si="46"/>
        <v>9.8563850967007962</v>
      </c>
      <c r="L125" s="89">
        <f t="shared" si="46"/>
        <v>9.8563850967007962</v>
      </c>
      <c r="M125" s="89">
        <f t="shared" si="46"/>
        <v>9.8563850967007962</v>
      </c>
      <c r="N125" s="89">
        <f t="shared" si="46"/>
        <v>9.8563850967007962</v>
      </c>
    </row>
    <row r="126" spans="2:14">
      <c r="B126" s="32" t="s">
        <v>49</v>
      </c>
      <c r="E126" s="137">
        <f>E125*$C$122</f>
        <v>0</v>
      </c>
      <c r="F126" s="137">
        <f>F125*$C$122</f>
        <v>0</v>
      </c>
      <c r="G126" s="137">
        <f t="shared" ref="G126:N126" si="47">G125*$C$122</f>
        <v>0</v>
      </c>
      <c r="H126" s="137">
        <f t="shared" si="47"/>
        <v>0</v>
      </c>
      <c r="I126" s="137">
        <f t="shared" si="47"/>
        <v>0</v>
      </c>
      <c r="J126" s="137">
        <f t="shared" si="47"/>
        <v>0</v>
      </c>
      <c r="K126" s="137">
        <f t="shared" si="47"/>
        <v>0</v>
      </c>
      <c r="L126" s="137">
        <f t="shared" si="47"/>
        <v>0</v>
      </c>
      <c r="M126" s="137">
        <f t="shared" si="47"/>
        <v>0</v>
      </c>
      <c r="N126" s="137">
        <f t="shared" si="47"/>
        <v>0</v>
      </c>
    </row>
    <row r="127" spans="2:14">
      <c r="B127" s="42" t="s">
        <v>62</v>
      </c>
      <c r="C127" s="44"/>
      <c r="D127" s="144">
        <f>D29</f>
        <v>0</v>
      </c>
      <c r="E127" s="154">
        <f>E123+E124-E126</f>
        <v>9.8563850967007962</v>
      </c>
      <c r="F127" s="154">
        <f>F123+F124-F126</f>
        <v>9.8563850967007962</v>
      </c>
      <c r="G127" s="154">
        <f t="shared" ref="G127:N127" si="48">G123+G124-G126</f>
        <v>9.8563850967007962</v>
      </c>
      <c r="H127" s="154">
        <f t="shared" si="48"/>
        <v>9.8563850967007962</v>
      </c>
      <c r="I127" s="154">
        <f t="shared" si="48"/>
        <v>9.8563850967007962</v>
      </c>
      <c r="J127" s="154">
        <f t="shared" si="48"/>
        <v>9.8563850967007962</v>
      </c>
      <c r="K127" s="154">
        <f t="shared" si="48"/>
        <v>9.8563850967007962</v>
      </c>
      <c r="L127" s="154">
        <f t="shared" si="48"/>
        <v>9.8563850967007962</v>
      </c>
      <c r="M127" s="154">
        <f t="shared" si="48"/>
        <v>9.8563850967007962</v>
      </c>
      <c r="N127" s="154">
        <f t="shared" si="48"/>
        <v>9.8563850967007962</v>
      </c>
    </row>
    <row r="129" spans="2:14">
      <c r="B129" s="165" t="s">
        <v>31</v>
      </c>
      <c r="C129" s="166">
        <f>D7</f>
        <v>0.1</v>
      </c>
    </row>
    <row r="130" spans="2:14">
      <c r="B130" s="32" t="s">
        <v>70</v>
      </c>
      <c r="E130" s="89"/>
      <c r="F130" s="89"/>
      <c r="G130" s="89"/>
      <c r="H130" s="89"/>
      <c r="I130" s="89"/>
      <c r="J130" s="89"/>
      <c r="K130" s="89"/>
      <c r="L130" s="89"/>
      <c r="M130" s="89"/>
      <c r="N130" s="89"/>
    </row>
    <row r="131" spans="2:14">
      <c r="B131" s="32" t="s">
        <v>71</v>
      </c>
      <c r="E131" s="89"/>
      <c r="F131" s="89"/>
      <c r="G131" s="89"/>
      <c r="H131" s="89"/>
      <c r="I131" s="89"/>
      <c r="J131" s="89"/>
      <c r="K131" s="89"/>
      <c r="L131" s="89"/>
      <c r="M131" s="89"/>
      <c r="N131" s="89"/>
    </row>
    <row r="132" spans="2:14">
      <c r="B132" s="32" t="s">
        <v>79</v>
      </c>
      <c r="E132" s="89"/>
      <c r="F132" s="89"/>
      <c r="G132" s="89"/>
      <c r="H132" s="89"/>
      <c r="I132" s="89"/>
      <c r="J132" s="89"/>
      <c r="K132" s="89"/>
      <c r="L132" s="89"/>
      <c r="M132" s="89"/>
      <c r="N132" s="89"/>
    </row>
    <row r="133" spans="2:14">
      <c r="B133" s="32" t="s">
        <v>49</v>
      </c>
      <c r="E133" s="137"/>
      <c r="F133" s="89"/>
      <c r="G133" s="89"/>
      <c r="H133" s="89"/>
      <c r="I133" s="89"/>
      <c r="J133" s="89"/>
      <c r="K133" s="89"/>
      <c r="L133" s="89"/>
      <c r="M133" s="89"/>
      <c r="N133" s="89"/>
    </row>
    <row r="134" spans="2:14">
      <c r="B134" s="42" t="s">
        <v>62</v>
      </c>
      <c r="C134" s="44"/>
      <c r="D134" s="144">
        <f>D38</f>
        <v>0</v>
      </c>
      <c r="E134" s="154"/>
      <c r="F134" s="154"/>
      <c r="G134" s="154"/>
      <c r="H134" s="154"/>
      <c r="I134" s="154"/>
      <c r="J134" s="154"/>
      <c r="K134" s="154"/>
      <c r="L134" s="154"/>
      <c r="M134" s="154"/>
      <c r="N134" s="154"/>
    </row>
    <row r="136" spans="2:14">
      <c r="B136" s="165" t="s">
        <v>32</v>
      </c>
      <c r="C136" s="166">
        <f>D8</f>
        <v>0.1</v>
      </c>
    </row>
    <row r="137" spans="2:14">
      <c r="B137" s="32" t="s">
        <v>70</v>
      </c>
      <c r="E137" s="89"/>
      <c r="F137" s="89"/>
      <c r="G137" s="89"/>
      <c r="H137" s="89"/>
      <c r="I137" s="89"/>
      <c r="J137" s="89"/>
      <c r="K137" s="89"/>
      <c r="L137" s="89"/>
      <c r="M137" s="89"/>
      <c r="N137" s="89"/>
    </row>
    <row r="138" spans="2:14">
      <c r="B138" s="32" t="s">
        <v>71</v>
      </c>
      <c r="E138" s="89"/>
      <c r="F138" s="89"/>
      <c r="G138" s="89"/>
      <c r="H138" s="89"/>
      <c r="I138" s="89"/>
      <c r="J138" s="89"/>
      <c r="K138" s="89"/>
      <c r="L138" s="89"/>
      <c r="M138" s="89"/>
      <c r="N138" s="89"/>
    </row>
    <row r="139" spans="2:14">
      <c r="B139" s="32" t="s">
        <v>79</v>
      </c>
      <c r="E139" s="89"/>
      <c r="F139" s="89"/>
      <c r="G139" s="89"/>
      <c r="H139" s="89"/>
      <c r="I139" s="89"/>
      <c r="J139" s="89"/>
      <c r="K139" s="89"/>
      <c r="L139" s="89"/>
      <c r="M139" s="89"/>
      <c r="N139" s="89"/>
    </row>
    <row r="140" spans="2:14">
      <c r="B140" s="32" t="s">
        <v>49</v>
      </c>
      <c r="E140" s="137"/>
      <c r="F140" s="89"/>
      <c r="G140" s="89"/>
      <c r="H140" s="89"/>
      <c r="I140" s="89"/>
      <c r="J140" s="89"/>
      <c r="K140" s="89"/>
      <c r="L140" s="89"/>
      <c r="M140" s="89"/>
      <c r="N140" s="89"/>
    </row>
    <row r="141" spans="2:14">
      <c r="B141" s="42" t="s">
        <v>62</v>
      </c>
      <c r="C141" s="44"/>
      <c r="D141" s="144">
        <f>D47</f>
        <v>0</v>
      </c>
      <c r="E141" s="154"/>
      <c r="F141" s="154"/>
      <c r="G141" s="154"/>
      <c r="H141" s="154"/>
      <c r="I141" s="154"/>
      <c r="J141" s="154"/>
      <c r="K141" s="154"/>
      <c r="L141" s="154"/>
      <c r="M141" s="154"/>
      <c r="N141" s="154"/>
    </row>
    <row r="143" spans="2:14">
      <c r="B143" s="165" t="s">
        <v>12</v>
      </c>
      <c r="C143" s="166">
        <f>D9</f>
        <v>0.15</v>
      </c>
    </row>
    <row r="144" spans="2:14">
      <c r="B144" s="32" t="s">
        <v>70</v>
      </c>
      <c r="E144" s="89">
        <v>0</v>
      </c>
      <c r="F144" s="89">
        <f>E148</f>
        <v>115.16407849829352</v>
      </c>
      <c r="G144" s="89">
        <f t="shared" ref="G144:N144" si="49">F148</f>
        <v>97.889466723549489</v>
      </c>
      <c r="H144" s="89">
        <f t="shared" si="49"/>
        <v>83.206046715017067</v>
      </c>
      <c r="I144" s="89">
        <f t="shared" si="49"/>
        <v>70.725139707764512</v>
      </c>
      <c r="J144" s="89">
        <f t="shared" si="49"/>
        <v>60.116368751599836</v>
      </c>
      <c r="K144" s="89">
        <f t="shared" si="49"/>
        <v>51.09891343885986</v>
      </c>
      <c r="L144" s="89">
        <f t="shared" si="49"/>
        <v>43.434076423030881</v>
      </c>
      <c r="M144" s="89">
        <f t="shared" si="49"/>
        <v>36.91896495957625</v>
      </c>
      <c r="N144" s="89">
        <f t="shared" si="49"/>
        <v>31.381120215639811</v>
      </c>
    </row>
    <row r="145" spans="2:14">
      <c r="B145" s="32" t="s">
        <v>71</v>
      </c>
      <c r="E145" s="89">
        <f>E9</f>
        <v>124.50170648464164</v>
      </c>
      <c r="F145" s="89"/>
      <c r="G145" s="89"/>
      <c r="H145" s="89"/>
      <c r="I145" s="89"/>
      <c r="J145" s="89"/>
      <c r="K145" s="89"/>
      <c r="L145" s="89"/>
      <c r="M145" s="89"/>
      <c r="N145" s="89"/>
    </row>
    <row r="146" spans="2:14">
      <c r="B146" s="32" t="s">
        <v>79</v>
      </c>
      <c r="E146" s="89">
        <f>(E144+E145)/12*E$120</f>
        <v>62.250853242320815</v>
      </c>
      <c r="F146" s="89">
        <f>(F144+F145)/12*F120</f>
        <v>115.16407849829352</v>
      </c>
      <c r="G146" s="89">
        <f t="shared" ref="G146:N146" si="50">(G144+G145)/12*G120</f>
        <v>97.889466723549489</v>
      </c>
      <c r="H146" s="89">
        <f t="shared" si="50"/>
        <v>83.206046715017067</v>
      </c>
      <c r="I146" s="89">
        <f t="shared" si="50"/>
        <v>70.725139707764512</v>
      </c>
      <c r="J146" s="89">
        <f t="shared" si="50"/>
        <v>60.116368751599836</v>
      </c>
      <c r="K146" s="89">
        <f t="shared" si="50"/>
        <v>51.09891343885986</v>
      </c>
      <c r="L146" s="89">
        <f t="shared" si="50"/>
        <v>43.434076423030881</v>
      </c>
      <c r="M146" s="89">
        <f t="shared" si="50"/>
        <v>36.91896495957625</v>
      </c>
      <c r="N146" s="89">
        <f t="shared" si="50"/>
        <v>31.381120215639811</v>
      </c>
    </row>
    <row r="147" spans="2:14">
      <c r="B147" s="32" t="s">
        <v>49</v>
      </c>
      <c r="E147" s="137">
        <f>E146*$C$143</f>
        <v>9.3376279863481226</v>
      </c>
      <c r="F147" s="137">
        <f>F146*$C$143</f>
        <v>17.274611774744027</v>
      </c>
      <c r="G147" s="137">
        <f t="shared" ref="G147:N147" si="51">G146*$C$143</f>
        <v>14.683420008532423</v>
      </c>
      <c r="H147" s="137">
        <f t="shared" si="51"/>
        <v>12.48090700725256</v>
      </c>
      <c r="I147" s="137">
        <f t="shared" si="51"/>
        <v>10.608770956164676</v>
      </c>
      <c r="J147" s="137">
        <f t="shared" si="51"/>
        <v>9.0174553127399744</v>
      </c>
      <c r="K147" s="137">
        <f t="shared" si="51"/>
        <v>7.6648370158289785</v>
      </c>
      <c r="L147" s="137">
        <f t="shared" si="51"/>
        <v>6.5151114634546321</v>
      </c>
      <c r="M147" s="137">
        <f t="shared" si="51"/>
        <v>5.5378447439364376</v>
      </c>
      <c r="N147" s="137">
        <f t="shared" si="51"/>
        <v>4.7071680323459715</v>
      </c>
    </row>
    <row r="148" spans="2:14">
      <c r="B148" s="42" t="s">
        <v>62</v>
      </c>
      <c r="C148" s="44"/>
      <c r="D148" s="144">
        <f>D56</f>
        <v>0</v>
      </c>
      <c r="E148" s="154">
        <f>E144+E145-E147</f>
        <v>115.16407849829352</v>
      </c>
      <c r="F148" s="154">
        <f>F144+F145-F147</f>
        <v>97.889466723549489</v>
      </c>
      <c r="G148" s="154">
        <f t="shared" ref="G148:N148" si="52">G144+G145-G147</f>
        <v>83.206046715017067</v>
      </c>
      <c r="H148" s="154">
        <f t="shared" si="52"/>
        <v>70.725139707764512</v>
      </c>
      <c r="I148" s="154">
        <f t="shared" si="52"/>
        <v>60.116368751599836</v>
      </c>
      <c r="J148" s="154">
        <f t="shared" si="52"/>
        <v>51.09891343885986</v>
      </c>
      <c r="K148" s="154">
        <f t="shared" si="52"/>
        <v>43.434076423030881</v>
      </c>
      <c r="L148" s="154">
        <f t="shared" si="52"/>
        <v>36.91896495957625</v>
      </c>
      <c r="M148" s="154">
        <f t="shared" si="52"/>
        <v>31.381120215639811</v>
      </c>
      <c r="N148" s="154">
        <f t="shared" si="52"/>
        <v>26.673952183293839</v>
      </c>
    </row>
    <row r="150" spans="2:14">
      <c r="B150" s="165" t="s">
        <v>33</v>
      </c>
      <c r="C150" s="166">
        <f>D10</f>
        <v>0.15</v>
      </c>
    </row>
    <row r="151" spans="2:14">
      <c r="B151" s="32" t="s">
        <v>70</v>
      </c>
      <c r="E151" s="89">
        <v>0</v>
      </c>
      <c r="F151" s="89">
        <f>E155</f>
        <v>13.435809158134244</v>
      </c>
      <c r="G151" s="89">
        <f t="shared" ref="G151:N151" si="53">F155</f>
        <v>11.420437784414109</v>
      </c>
      <c r="H151" s="89">
        <f t="shared" si="53"/>
        <v>9.7073721167519924</v>
      </c>
      <c r="I151" s="89">
        <f t="shared" si="53"/>
        <v>8.2512662992391945</v>
      </c>
      <c r="J151" s="89">
        <f t="shared" si="53"/>
        <v>7.0135763543533152</v>
      </c>
      <c r="K151" s="89">
        <f t="shared" si="53"/>
        <v>5.9615399012003181</v>
      </c>
      <c r="L151" s="89">
        <f t="shared" si="53"/>
        <v>5.06730891602027</v>
      </c>
      <c r="M151" s="89">
        <f t="shared" si="53"/>
        <v>4.3072125786172295</v>
      </c>
      <c r="N151" s="89">
        <f t="shared" si="53"/>
        <v>3.6611306918246451</v>
      </c>
    </row>
    <row r="152" spans="2:14">
      <c r="B152" s="32" t="s">
        <v>71</v>
      </c>
      <c r="E152" s="89">
        <f>E10</f>
        <v>14.525199089874858</v>
      </c>
      <c r="F152" s="89"/>
      <c r="G152" s="89"/>
      <c r="H152" s="89"/>
      <c r="I152" s="89"/>
      <c r="J152" s="89"/>
      <c r="K152" s="89"/>
      <c r="L152" s="89"/>
      <c r="M152" s="89"/>
      <c r="N152" s="89"/>
    </row>
    <row r="153" spans="2:14">
      <c r="B153" s="32" t="s">
        <v>79</v>
      </c>
      <c r="E153" s="89">
        <f>(E151+E152)/12*E$120</f>
        <v>7.2625995449374292</v>
      </c>
      <c r="F153" s="89">
        <f>(F151+F152)/12*F$120</f>
        <v>13.435809158134244</v>
      </c>
      <c r="G153" s="89">
        <f t="shared" ref="G153:N153" si="54">(G151+G152)/12*G$120</f>
        <v>11.420437784414109</v>
      </c>
      <c r="H153" s="89">
        <f t="shared" si="54"/>
        <v>9.7073721167519924</v>
      </c>
      <c r="I153" s="89">
        <f t="shared" si="54"/>
        <v>8.2512662992391945</v>
      </c>
      <c r="J153" s="89">
        <f t="shared" si="54"/>
        <v>7.0135763543533152</v>
      </c>
      <c r="K153" s="89">
        <f t="shared" si="54"/>
        <v>5.9615399012003181</v>
      </c>
      <c r="L153" s="89">
        <f t="shared" si="54"/>
        <v>5.06730891602027</v>
      </c>
      <c r="M153" s="89">
        <f t="shared" si="54"/>
        <v>4.3072125786172295</v>
      </c>
      <c r="N153" s="89">
        <f t="shared" si="54"/>
        <v>3.6611306918246447</v>
      </c>
    </row>
    <row r="154" spans="2:14">
      <c r="B154" s="32" t="s">
        <v>49</v>
      </c>
      <c r="E154" s="137">
        <f>E153*$C$150</f>
        <v>1.0893899317406144</v>
      </c>
      <c r="F154" s="137">
        <f>F153*$C$150</f>
        <v>2.0153713737201366</v>
      </c>
      <c r="G154" s="137">
        <f t="shared" ref="G154:N154" si="55">G153*$C$150</f>
        <v>1.7130656676621163</v>
      </c>
      <c r="H154" s="137">
        <f t="shared" si="55"/>
        <v>1.4561058175127988</v>
      </c>
      <c r="I154" s="137">
        <f t="shared" si="55"/>
        <v>1.2376899448858791</v>
      </c>
      <c r="J154" s="137">
        <f t="shared" si="55"/>
        <v>1.0520364531529973</v>
      </c>
      <c r="K154" s="137">
        <f t="shared" si="55"/>
        <v>0.89423098518004773</v>
      </c>
      <c r="L154" s="137">
        <f t="shared" si="55"/>
        <v>0.7600963374030405</v>
      </c>
      <c r="M154" s="137">
        <f t="shared" si="55"/>
        <v>0.64608188679258438</v>
      </c>
      <c r="N154" s="137">
        <f t="shared" si="55"/>
        <v>0.54916960377369672</v>
      </c>
    </row>
    <row r="155" spans="2:14">
      <c r="B155" s="42" t="s">
        <v>62</v>
      </c>
      <c r="C155" s="44"/>
      <c r="D155" s="144">
        <f>D63</f>
        <v>0</v>
      </c>
      <c r="E155" s="154">
        <f>E151+E152-E154</f>
        <v>13.435809158134244</v>
      </c>
      <c r="F155" s="154">
        <f>F151+F152-F154</f>
        <v>11.420437784414109</v>
      </c>
      <c r="G155" s="154">
        <f t="shared" ref="G155:N155" si="56">G151+G152-G154</f>
        <v>9.7073721167519924</v>
      </c>
      <c r="H155" s="154">
        <f t="shared" si="56"/>
        <v>8.2512662992391945</v>
      </c>
      <c r="I155" s="154">
        <f t="shared" si="56"/>
        <v>7.0135763543533152</v>
      </c>
      <c r="J155" s="154">
        <f t="shared" si="56"/>
        <v>5.9615399012003181</v>
      </c>
      <c r="K155" s="154">
        <f t="shared" si="56"/>
        <v>5.06730891602027</v>
      </c>
      <c r="L155" s="154">
        <f t="shared" si="56"/>
        <v>4.3072125786172295</v>
      </c>
      <c r="M155" s="154">
        <f t="shared" si="56"/>
        <v>3.6611306918246451</v>
      </c>
      <c r="N155" s="154">
        <f t="shared" si="56"/>
        <v>3.1119610880509483</v>
      </c>
    </row>
    <row r="157" spans="2:14">
      <c r="B157" s="165" t="s">
        <v>217</v>
      </c>
      <c r="C157" s="166">
        <f>D11</f>
        <v>0.15</v>
      </c>
    </row>
    <row r="158" spans="2:14">
      <c r="B158" s="32" t="s">
        <v>70</v>
      </c>
      <c r="E158" s="89"/>
      <c r="F158" s="89"/>
      <c r="G158" s="89"/>
      <c r="H158" s="89"/>
      <c r="I158" s="89"/>
      <c r="J158" s="89"/>
      <c r="K158" s="89"/>
      <c r="L158" s="89"/>
      <c r="M158" s="89"/>
      <c r="N158" s="89"/>
    </row>
    <row r="159" spans="2:14">
      <c r="B159" s="32" t="s">
        <v>71</v>
      </c>
      <c r="E159" s="89"/>
      <c r="F159" s="89"/>
      <c r="G159" s="89"/>
      <c r="H159" s="89"/>
      <c r="I159" s="89"/>
      <c r="J159" s="89"/>
      <c r="K159" s="89"/>
      <c r="L159" s="89"/>
      <c r="M159" s="89"/>
      <c r="N159" s="89"/>
    </row>
    <row r="160" spans="2:14">
      <c r="B160" s="32" t="s">
        <v>79</v>
      </c>
      <c r="E160" s="89"/>
      <c r="F160" s="89"/>
      <c r="G160" s="89"/>
      <c r="H160" s="89"/>
      <c r="I160" s="89"/>
      <c r="J160" s="89"/>
      <c r="K160" s="89"/>
      <c r="L160" s="89"/>
      <c r="M160" s="89"/>
      <c r="N160" s="89"/>
    </row>
    <row r="161" spans="2:14">
      <c r="B161" s="32" t="s">
        <v>49</v>
      </c>
      <c r="E161" s="137"/>
      <c r="F161" s="89"/>
      <c r="G161" s="89"/>
      <c r="H161" s="89"/>
      <c r="I161" s="89"/>
      <c r="J161" s="89"/>
      <c r="K161" s="89"/>
      <c r="L161" s="89"/>
      <c r="M161" s="89"/>
      <c r="N161" s="89"/>
    </row>
    <row r="162" spans="2:14">
      <c r="B162" s="42" t="s">
        <v>62</v>
      </c>
      <c r="C162" s="44"/>
      <c r="D162" s="144">
        <f>D70</f>
        <v>0</v>
      </c>
      <c r="E162" s="154"/>
      <c r="F162" s="154"/>
      <c r="G162" s="154"/>
      <c r="H162" s="154"/>
      <c r="I162" s="154"/>
      <c r="J162" s="154"/>
      <c r="K162" s="154"/>
      <c r="L162" s="154"/>
      <c r="M162" s="154"/>
      <c r="N162" s="154"/>
    </row>
    <row r="164" spans="2:14">
      <c r="B164" s="165" t="s">
        <v>66</v>
      </c>
      <c r="C164" s="166">
        <f>D12</f>
        <v>0.15</v>
      </c>
    </row>
    <row r="165" spans="2:14">
      <c r="B165" s="32" t="s">
        <v>70</v>
      </c>
      <c r="E165" s="89"/>
      <c r="F165" s="89"/>
      <c r="G165" s="89"/>
      <c r="H165" s="89"/>
      <c r="I165" s="89"/>
      <c r="J165" s="89"/>
      <c r="K165" s="89"/>
      <c r="L165" s="89"/>
      <c r="M165" s="89"/>
      <c r="N165" s="89"/>
    </row>
    <row r="166" spans="2:14">
      <c r="B166" s="32" t="s">
        <v>71</v>
      </c>
      <c r="E166" s="89"/>
      <c r="F166" s="89"/>
      <c r="G166" s="89"/>
      <c r="H166" s="89"/>
      <c r="I166" s="89"/>
      <c r="J166" s="89"/>
      <c r="K166" s="89"/>
      <c r="L166" s="89"/>
      <c r="M166" s="89"/>
      <c r="N166" s="89"/>
    </row>
    <row r="167" spans="2:14">
      <c r="B167" s="32" t="s">
        <v>79</v>
      </c>
      <c r="E167" s="89"/>
      <c r="F167" s="89"/>
      <c r="G167" s="89"/>
      <c r="H167" s="89"/>
      <c r="I167" s="89"/>
      <c r="J167" s="89"/>
      <c r="K167" s="89"/>
      <c r="L167" s="89"/>
      <c r="M167" s="89"/>
      <c r="N167" s="89"/>
    </row>
    <row r="168" spans="2:14">
      <c r="B168" s="32" t="s">
        <v>49</v>
      </c>
      <c r="E168" s="137"/>
      <c r="F168" s="89"/>
      <c r="G168" s="89"/>
      <c r="H168" s="89"/>
      <c r="I168" s="89"/>
      <c r="J168" s="89"/>
      <c r="K168" s="89"/>
      <c r="L168" s="89"/>
      <c r="M168" s="89"/>
      <c r="N168" s="89"/>
    </row>
    <row r="169" spans="2:14">
      <c r="B169" s="42" t="s">
        <v>62</v>
      </c>
      <c r="C169" s="44"/>
      <c r="D169" s="144">
        <f>D77</f>
        <v>0</v>
      </c>
      <c r="E169" s="154"/>
      <c r="F169" s="154"/>
      <c r="G169" s="154"/>
      <c r="H169" s="154"/>
      <c r="I169" s="154"/>
      <c r="J169" s="154"/>
      <c r="K169" s="154"/>
      <c r="L169" s="154"/>
      <c r="M169" s="154"/>
      <c r="N169" s="154"/>
    </row>
    <row r="171" spans="2:14">
      <c r="B171" s="165" t="s">
        <v>73</v>
      </c>
      <c r="C171" s="166">
        <f>D13</f>
        <v>0.6</v>
      </c>
    </row>
    <row r="172" spans="2:14">
      <c r="B172" s="32" t="s">
        <v>70</v>
      </c>
      <c r="E172" s="89">
        <v>0</v>
      </c>
      <c r="F172" s="89">
        <f>E176</f>
        <v>0.72625995449374292</v>
      </c>
      <c r="G172" s="89">
        <f t="shared" ref="G172:N172" si="57">F176</f>
        <v>0.2905039817974972</v>
      </c>
      <c r="H172" s="89">
        <f t="shared" si="57"/>
        <v>0.11620159271899888</v>
      </c>
      <c r="I172" s="89">
        <f t="shared" si="57"/>
        <v>4.6480637087599558E-2</v>
      </c>
      <c r="J172" s="89">
        <f t="shared" si="57"/>
        <v>1.8592254835039825E-2</v>
      </c>
      <c r="K172" s="89">
        <f t="shared" si="57"/>
        <v>7.4369019340159298E-3</v>
      </c>
      <c r="L172" s="89">
        <f t="shared" si="57"/>
        <v>2.9747607736063724E-3</v>
      </c>
      <c r="M172" s="89">
        <f t="shared" si="57"/>
        <v>1.1899043094425492E-3</v>
      </c>
      <c r="N172" s="89">
        <f t="shared" si="57"/>
        <v>4.7596172377701966E-4</v>
      </c>
    </row>
    <row r="173" spans="2:14">
      <c r="B173" s="32" t="s">
        <v>71</v>
      </c>
      <c r="E173" s="89">
        <f>E13</f>
        <v>1.0375142207053469</v>
      </c>
      <c r="F173" s="89"/>
      <c r="G173" s="89"/>
      <c r="H173" s="89"/>
      <c r="I173" s="89"/>
      <c r="J173" s="89"/>
      <c r="K173" s="89"/>
      <c r="L173" s="89"/>
      <c r="M173" s="89"/>
      <c r="N173" s="89"/>
    </row>
    <row r="174" spans="2:14">
      <c r="B174" s="32" t="s">
        <v>79</v>
      </c>
      <c r="E174" s="89">
        <f>(E172+E173)/12*E$120</f>
        <v>0.51875711035267347</v>
      </c>
      <c r="F174" s="89">
        <f>(F172+F173)/12*F$120</f>
        <v>0.72625995449374292</v>
      </c>
      <c r="G174" s="89">
        <f t="shared" ref="G174:N174" si="58">(G172+G173)/12*G$120</f>
        <v>0.2905039817974972</v>
      </c>
      <c r="H174" s="89">
        <f t="shared" si="58"/>
        <v>0.11620159271899888</v>
      </c>
      <c r="I174" s="89">
        <f t="shared" si="58"/>
        <v>4.6480637087599558E-2</v>
      </c>
      <c r="J174" s="89">
        <f t="shared" si="58"/>
        <v>1.8592254835039825E-2</v>
      </c>
      <c r="K174" s="89">
        <f t="shared" si="58"/>
        <v>7.4369019340159298E-3</v>
      </c>
      <c r="L174" s="89">
        <f t="shared" si="58"/>
        <v>2.9747607736063724E-3</v>
      </c>
      <c r="M174" s="89">
        <f t="shared" si="58"/>
        <v>1.1899043094425492E-3</v>
      </c>
      <c r="N174" s="89">
        <f t="shared" si="58"/>
        <v>4.7596172377701966E-4</v>
      </c>
    </row>
    <row r="175" spans="2:14">
      <c r="B175" s="32" t="s">
        <v>49</v>
      </c>
      <c r="E175" s="137">
        <f>E174*$C$171</f>
        <v>0.31125426621160407</v>
      </c>
      <c r="F175" s="137">
        <f>F174*$C$171</f>
        <v>0.43575597269624572</v>
      </c>
      <c r="G175" s="137">
        <f t="shared" ref="G175:N175" si="59">G174*$C$171</f>
        <v>0.17430238907849832</v>
      </c>
      <c r="H175" s="137">
        <f t="shared" si="59"/>
        <v>6.9720955631399323E-2</v>
      </c>
      <c r="I175" s="137">
        <f t="shared" si="59"/>
        <v>2.7888382252559733E-2</v>
      </c>
      <c r="J175" s="137">
        <f t="shared" si="59"/>
        <v>1.1155352901023895E-2</v>
      </c>
      <c r="K175" s="137">
        <f t="shared" si="59"/>
        <v>4.4621411604095574E-3</v>
      </c>
      <c r="L175" s="137">
        <f t="shared" si="59"/>
        <v>1.7848564641638233E-3</v>
      </c>
      <c r="M175" s="137">
        <f t="shared" si="59"/>
        <v>7.1394258566552949E-4</v>
      </c>
      <c r="N175" s="137">
        <f t="shared" si="59"/>
        <v>2.855770342662118E-4</v>
      </c>
    </row>
    <row r="176" spans="2:14">
      <c r="B176" s="42" t="s">
        <v>62</v>
      </c>
      <c r="C176" s="44"/>
      <c r="D176" s="144">
        <f>D84</f>
        <v>0</v>
      </c>
      <c r="E176" s="154">
        <f>E172+E173-E175</f>
        <v>0.72625995449374292</v>
      </c>
      <c r="F176" s="154">
        <f>F172+F173-F175</f>
        <v>0.2905039817974972</v>
      </c>
      <c r="G176" s="154">
        <f t="shared" ref="G176:N176" si="60">G172+G173-G175</f>
        <v>0.11620159271899888</v>
      </c>
      <c r="H176" s="154">
        <f t="shared" si="60"/>
        <v>4.6480637087599558E-2</v>
      </c>
      <c r="I176" s="154">
        <f t="shared" si="60"/>
        <v>1.8592254835039825E-2</v>
      </c>
      <c r="J176" s="154">
        <f t="shared" si="60"/>
        <v>7.4369019340159298E-3</v>
      </c>
      <c r="K176" s="154">
        <f t="shared" si="60"/>
        <v>2.9747607736063724E-3</v>
      </c>
      <c r="L176" s="154">
        <f t="shared" si="60"/>
        <v>1.1899043094425492E-3</v>
      </c>
      <c r="M176" s="154">
        <f t="shared" si="60"/>
        <v>4.7596172377701966E-4</v>
      </c>
      <c r="N176" s="154">
        <f t="shared" si="60"/>
        <v>1.9038468951080786E-4</v>
      </c>
    </row>
    <row r="178" spans="2:14">
      <c r="B178" s="165" t="s">
        <v>74</v>
      </c>
      <c r="C178" s="166">
        <f>D14</f>
        <v>0.1</v>
      </c>
    </row>
    <row r="179" spans="2:14">
      <c r="B179" s="32" t="s">
        <v>70</v>
      </c>
      <c r="E179" s="89">
        <v>0</v>
      </c>
      <c r="F179" s="89">
        <f>E183</f>
        <v>1.9712770193401592</v>
      </c>
      <c r="G179" s="89">
        <f t="shared" ref="G179:N179" si="61">F183</f>
        <v>1.7741493174061431</v>
      </c>
      <c r="H179" s="89">
        <f t="shared" si="61"/>
        <v>1.5967343856655287</v>
      </c>
      <c r="I179" s="89">
        <f t="shared" si="61"/>
        <v>1.4370609470989759</v>
      </c>
      <c r="J179" s="89">
        <f t="shared" si="61"/>
        <v>1.2933548523890783</v>
      </c>
      <c r="K179" s="89">
        <f t="shared" si="61"/>
        <v>1.1640193671501704</v>
      </c>
      <c r="L179" s="89">
        <f t="shared" si="61"/>
        <v>1.0476174304351533</v>
      </c>
      <c r="M179" s="89">
        <f t="shared" si="61"/>
        <v>0.94285568739163794</v>
      </c>
      <c r="N179" s="89">
        <f t="shared" si="61"/>
        <v>0.84857011865247411</v>
      </c>
    </row>
    <row r="180" spans="2:14">
      <c r="B180" s="32" t="s">
        <v>71</v>
      </c>
      <c r="E180" s="89">
        <f>E14</f>
        <v>2.0750284414106939</v>
      </c>
      <c r="F180" s="89"/>
      <c r="G180" s="89"/>
      <c r="H180" s="89"/>
      <c r="I180" s="89"/>
      <c r="J180" s="89"/>
      <c r="K180" s="89"/>
      <c r="L180" s="89"/>
      <c r="M180" s="89"/>
      <c r="N180" s="89"/>
    </row>
    <row r="181" spans="2:14">
      <c r="B181" s="32" t="s">
        <v>79</v>
      </c>
      <c r="E181" s="89">
        <f>(E179+E180)/12*E$120</f>
        <v>1.0375142207053469</v>
      </c>
      <c r="F181" s="89">
        <f>(F179+F180)/12*F$120</f>
        <v>1.9712770193401594</v>
      </c>
      <c r="G181" s="89">
        <f t="shared" ref="G181:N181" si="62">(G179+G180)/12*G$120</f>
        <v>1.7741493174061431</v>
      </c>
      <c r="H181" s="89">
        <f t="shared" si="62"/>
        <v>1.5967343856655285</v>
      </c>
      <c r="I181" s="89">
        <f t="shared" si="62"/>
        <v>1.4370609470989759</v>
      </c>
      <c r="J181" s="89">
        <f t="shared" si="62"/>
        <v>1.2933548523890783</v>
      </c>
      <c r="K181" s="89">
        <f t="shared" si="62"/>
        <v>1.1640193671501704</v>
      </c>
      <c r="L181" s="89">
        <f t="shared" si="62"/>
        <v>1.0476174304351533</v>
      </c>
      <c r="M181" s="89">
        <f t="shared" si="62"/>
        <v>0.94285568739163783</v>
      </c>
      <c r="N181" s="89">
        <f t="shared" si="62"/>
        <v>0.84857011865247411</v>
      </c>
    </row>
    <row r="182" spans="2:14">
      <c r="B182" s="32" t="s">
        <v>49</v>
      </c>
      <c r="E182" s="137">
        <f>E181*$C$178</f>
        <v>0.1037514220705347</v>
      </c>
      <c r="F182" s="137">
        <f>F181*$C$178</f>
        <v>0.19712770193401596</v>
      </c>
      <c r="G182" s="137">
        <f t="shared" ref="G182:N182" si="63">G181*$C$178</f>
        <v>0.17741493174061432</v>
      </c>
      <c r="H182" s="137">
        <f t="shared" si="63"/>
        <v>0.15967343856655286</v>
      </c>
      <c r="I182" s="137">
        <f t="shared" si="63"/>
        <v>0.14370609470989759</v>
      </c>
      <c r="J182" s="137">
        <f t="shared" si="63"/>
        <v>0.12933548523890784</v>
      </c>
      <c r="K182" s="137">
        <f t="shared" si="63"/>
        <v>0.11640193671501704</v>
      </c>
      <c r="L182" s="137">
        <f t="shared" si="63"/>
        <v>0.10476174304351533</v>
      </c>
      <c r="M182" s="137">
        <f t="shared" si="63"/>
        <v>9.4285568739163786E-2</v>
      </c>
      <c r="N182" s="137">
        <f t="shared" si="63"/>
        <v>8.4857011865247411E-2</v>
      </c>
    </row>
    <row r="183" spans="2:14">
      <c r="B183" s="42" t="s">
        <v>62</v>
      </c>
      <c r="C183" s="44"/>
      <c r="D183" s="144">
        <f>D91</f>
        <v>0</v>
      </c>
      <c r="E183" s="154">
        <f>E179+E180-E182</f>
        <v>1.9712770193401592</v>
      </c>
      <c r="F183" s="154">
        <f>F179+F180-F182</f>
        <v>1.7741493174061431</v>
      </c>
      <c r="G183" s="154">
        <f t="shared" ref="G183:N183" si="64">G179+G180-G182</f>
        <v>1.5967343856655287</v>
      </c>
      <c r="H183" s="154">
        <f t="shared" si="64"/>
        <v>1.4370609470989759</v>
      </c>
      <c r="I183" s="154">
        <f t="shared" si="64"/>
        <v>1.2933548523890783</v>
      </c>
      <c r="J183" s="154">
        <f t="shared" si="64"/>
        <v>1.1640193671501704</v>
      </c>
      <c r="K183" s="154">
        <f t="shared" si="64"/>
        <v>1.0476174304351533</v>
      </c>
      <c r="L183" s="154">
        <f t="shared" si="64"/>
        <v>0.94285568739163794</v>
      </c>
      <c r="M183" s="154">
        <f t="shared" si="64"/>
        <v>0.84857011865247411</v>
      </c>
      <c r="N183" s="154">
        <f t="shared" si="64"/>
        <v>0.7637131067872267</v>
      </c>
    </row>
    <row r="184" spans="2:14">
      <c r="B184" s="32"/>
      <c r="D184" s="27"/>
      <c r="E184" s="89"/>
      <c r="F184" s="89"/>
      <c r="G184" s="89"/>
      <c r="H184" s="89"/>
      <c r="I184" s="89"/>
      <c r="J184" s="89"/>
      <c r="K184" s="89"/>
      <c r="L184" s="89"/>
      <c r="M184" s="89"/>
      <c r="N184" s="89"/>
    </row>
    <row r="185" spans="2:14">
      <c r="B185" s="165" t="s">
        <v>75</v>
      </c>
      <c r="C185" s="166"/>
    </row>
    <row r="186" spans="2:14">
      <c r="B186" s="32" t="s">
        <v>70</v>
      </c>
      <c r="E186" s="89">
        <f>E179+E172+E165+E158+E151+E144+E123</f>
        <v>0</v>
      </c>
      <c r="F186" s="89">
        <f t="shared" ref="F186:N186" si="65">F179+F172+F165+F158+F151+F144+F123</f>
        <v>141.15380972696246</v>
      </c>
      <c r="G186" s="89">
        <f t="shared" si="65"/>
        <v>121.23094290386803</v>
      </c>
      <c r="H186" s="89">
        <f t="shared" si="65"/>
        <v>104.48273990685438</v>
      </c>
      <c r="I186" s="89">
        <f t="shared" si="65"/>
        <v>90.316332687891077</v>
      </c>
      <c r="J186" s="89">
        <f t="shared" si="65"/>
        <v>78.29827730987806</v>
      </c>
      <c r="K186" s="89">
        <f t="shared" si="65"/>
        <v>68.088294705845158</v>
      </c>
      <c r="L186" s="89">
        <f t="shared" si="65"/>
        <v>59.408362626960709</v>
      </c>
      <c r="M186" s="89">
        <f t="shared" si="65"/>
        <v>52.026608226595357</v>
      </c>
      <c r="N186" s="89">
        <f t="shared" si="65"/>
        <v>45.747682084541502</v>
      </c>
    </row>
    <row r="187" spans="2:14">
      <c r="B187" s="32" t="s">
        <v>71</v>
      </c>
      <c r="E187" s="89">
        <f t="shared" ref="E187:N190" si="66">E180+E173+E166+E159+E152+E145+E124</f>
        <v>151.99583333333334</v>
      </c>
      <c r="F187" s="89">
        <f t="shared" si="66"/>
        <v>0</v>
      </c>
      <c r="G187" s="89">
        <f t="shared" si="66"/>
        <v>0</v>
      </c>
      <c r="H187" s="89">
        <f t="shared" si="66"/>
        <v>0</v>
      </c>
      <c r="I187" s="89">
        <f t="shared" si="66"/>
        <v>0</v>
      </c>
      <c r="J187" s="89">
        <f t="shared" si="66"/>
        <v>0</v>
      </c>
      <c r="K187" s="89">
        <f t="shared" si="66"/>
        <v>0</v>
      </c>
      <c r="L187" s="89">
        <f t="shared" si="66"/>
        <v>0</v>
      </c>
      <c r="M187" s="89">
        <f t="shared" si="66"/>
        <v>0</v>
      </c>
      <c r="N187" s="89">
        <f t="shared" si="66"/>
        <v>0</v>
      </c>
    </row>
    <row r="188" spans="2:14">
      <c r="B188" s="32" t="s">
        <v>79</v>
      </c>
      <c r="E188" s="89">
        <f t="shared" si="66"/>
        <v>75.997916666666654</v>
      </c>
      <c r="F188" s="89">
        <f t="shared" si="66"/>
        <v>141.15380972696246</v>
      </c>
      <c r="G188" s="89">
        <f t="shared" si="66"/>
        <v>121.23094290386803</v>
      </c>
      <c r="H188" s="89">
        <f t="shared" si="66"/>
        <v>104.48273990685438</v>
      </c>
      <c r="I188" s="89">
        <f t="shared" si="66"/>
        <v>90.316332687891077</v>
      </c>
      <c r="J188" s="89">
        <f t="shared" si="66"/>
        <v>78.29827730987806</v>
      </c>
      <c r="K188" s="89">
        <f t="shared" si="66"/>
        <v>68.088294705845158</v>
      </c>
      <c r="L188" s="89">
        <f t="shared" si="66"/>
        <v>59.408362626960709</v>
      </c>
      <c r="M188" s="89">
        <f t="shared" si="66"/>
        <v>52.026608226595357</v>
      </c>
      <c r="N188" s="89">
        <f t="shared" si="66"/>
        <v>45.747682084541502</v>
      </c>
    </row>
    <row r="189" spans="2:14">
      <c r="B189" s="32" t="s">
        <v>49</v>
      </c>
      <c r="E189" s="89">
        <f t="shared" si="66"/>
        <v>10.842023606370876</v>
      </c>
      <c r="F189" s="89">
        <f t="shared" si="66"/>
        <v>19.922866823094424</v>
      </c>
      <c r="G189" s="89">
        <f t="shared" si="66"/>
        <v>16.748202997013653</v>
      </c>
      <c r="H189" s="89">
        <f t="shared" si="66"/>
        <v>14.166407218963311</v>
      </c>
      <c r="I189" s="89">
        <f t="shared" si="66"/>
        <v>12.018055378013013</v>
      </c>
      <c r="J189" s="89">
        <f t="shared" si="66"/>
        <v>10.209982604032904</v>
      </c>
      <c r="K189" s="89">
        <f t="shared" si="66"/>
        <v>8.6799320788844518</v>
      </c>
      <c r="L189" s="89">
        <f t="shared" si="66"/>
        <v>7.3817544003653515</v>
      </c>
      <c r="M189" s="89">
        <f t="shared" si="66"/>
        <v>6.2789261420538516</v>
      </c>
      <c r="N189" s="89">
        <f t="shared" si="66"/>
        <v>5.3414802250191817</v>
      </c>
    </row>
    <row r="190" spans="2:14">
      <c r="B190" s="42" t="s">
        <v>62</v>
      </c>
      <c r="C190" s="44"/>
      <c r="D190" s="144">
        <f>D148+D141+D134+D127</f>
        <v>0</v>
      </c>
      <c r="E190" s="154">
        <f t="shared" si="66"/>
        <v>141.15380972696246</v>
      </c>
      <c r="F190" s="154">
        <f t="shared" si="66"/>
        <v>121.23094290386803</v>
      </c>
      <c r="G190" s="154">
        <f t="shared" si="66"/>
        <v>104.48273990685438</v>
      </c>
      <c r="H190" s="154">
        <f t="shared" si="66"/>
        <v>90.316332687891077</v>
      </c>
      <c r="I190" s="154">
        <f t="shared" si="66"/>
        <v>78.29827730987806</v>
      </c>
      <c r="J190" s="154">
        <f t="shared" si="66"/>
        <v>68.088294705845158</v>
      </c>
      <c r="K190" s="154">
        <f t="shared" si="66"/>
        <v>59.408362626960709</v>
      </c>
      <c r="L190" s="154">
        <f t="shared" si="66"/>
        <v>52.026608226595357</v>
      </c>
      <c r="M190" s="154">
        <f t="shared" si="66"/>
        <v>45.747682084541502</v>
      </c>
      <c r="N190" s="154">
        <f t="shared" si="66"/>
        <v>40.406201859522319</v>
      </c>
    </row>
    <row r="191" spans="2:14">
      <c r="B191" s="138" t="s">
        <v>76</v>
      </c>
      <c r="C191" s="162"/>
      <c r="D191" s="162"/>
      <c r="E191" s="163"/>
      <c r="F191" s="163"/>
      <c r="G191" s="163"/>
      <c r="H191" s="163"/>
      <c r="I191" s="163"/>
      <c r="J191" s="163"/>
      <c r="K191" s="163"/>
      <c r="L191" s="163"/>
    </row>
    <row r="193" spans="2:14">
      <c r="B193" s="169" t="s">
        <v>80</v>
      </c>
      <c r="C193" s="170"/>
      <c r="D193" s="170"/>
      <c r="E193" s="171">
        <f t="shared" ref="E193:L193" si="67">E112</f>
        <v>2.4055545342718996</v>
      </c>
      <c r="F193" s="171">
        <f t="shared" si="67"/>
        <v>9.6222181370875983</v>
      </c>
      <c r="G193" s="171">
        <f t="shared" si="67"/>
        <v>9.6222181370875983</v>
      </c>
      <c r="H193" s="171">
        <f t="shared" si="67"/>
        <v>9.6222181370875983</v>
      </c>
      <c r="I193" s="171">
        <f t="shared" si="67"/>
        <v>9.6222181370875983</v>
      </c>
      <c r="J193" s="171">
        <f t="shared" si="67"/>
        <v>9.6222181370875983</v>
      </c>
      <c r="K193" s="171">
        <f t="shared" si="67"/>
        <v>9.6222181370875983</v>
      </c>
      <c r="L193" s="171">
        <f t="shared" si="67"/>
        <v>9.4690032245449363</v>
      </c>
      <c r="M193" s="171">
        <f t="shared" ref="M193:N193" si="68">M112</f>
        <v>9.4579796359499415</v>
      </c>
      <c r="N193" s="171">
        <f t="shared" si="68"/>
        <v>9.4579796359499415</v>
      </c>
    </row>
    <row r="194" spans="2:14">
      <c r="B194" s="172" t="s">
        <v>81</v>
      </c>
      <c r="C194" s="44"/>
      <c r="D194" s="44"/>
      <c r="E194" s="144">
        <f>E189</f>
        <v>10.842023606370876</v>
      </c>
      <c r="F194" s="144">
        <f t="shared" ref="F194:L194" si="69">F189</f>
        <v>19.922866823094424</v>
      </c>
      <c r="G194" s="144">
        <f t="shared" si="69"/>
        <v>16.748202997013653</v>
      </c>
      <c r="H194" s="144">
        <f t="shared" si="69"/>
        <v>14.166407218963311</v>
      </c>
      <c r="I194" s="144">
        <f t="shared" si="69"/>
        <v>12.018055378013013</v>
      </c>
      <c r="J194" s="144">
        <f t="shared" si="69"/>
        <v>10.209982604032904</v>
      </c>
      <c r="K194" s="144">
        <f t="shared" si="69"/>
        <v>8.6799320788844518</v>
      </c>
      <c r="L194" s="144">
        <f t="shared" si="69"/>
        <v>7.3817544003653515</v>
      </c>
      <c r="M194" s="144">
        <f t="shared" ref="M194:N194" si="70">M189</f>
        <v>6.2789261420538516</v>
      </c>
      <c r="N194" s="144">
        <f t="shared" si="70"/>
        <v>5.3414802250191817</v>
      </c>
    </row>
    <row r="196" spans="2:14">
      <c r="F196" s="26"/>
      <c r="G196" s="26"/>
    </row>
    <row r="197" spans="2:14">
      <c r="F197" s="26"/>
      <c r="G197" s="26"/>
    </row>
    <row r="198" spans="2:14">
      <c r="F198" s="26"/>
      <c r="G198" s="26"/>
    </row>
    <row r="199" spans="2:14">
      <c r="F199" s="26"/>
      <c r="G199" s="26"/>
    </row>
    <row r="200" spans="2:14">
      <c r="F200" s="26"/>
      <c r="G200" s="26"/>
    </row>
    <row r="201" spans="2:14">
      <c r="F201" s="26"/>
      <c r="G201" s="26"/>
    </row>
    <row r="202" spans="2:14">
      <c r="F202" s="26"/>
      <c r="G202" s="26"/>
    </row>
    <row r="203" spans="2:14">
      <c r="F203" s="26"/>
      <c r="G203" s="26"/>
    </row>
    <row r="204" spans="2:14">
      <c r="F204" s="26"/>
      <c r="G204" s="26"/>
    </row>
  </sheetData>
  <pageMargins left="0.7" right="0.7" top="0.75" bottom="0.75" header="0.3" footer="0.3"/>
  <pageSetup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2060"/>
  </sheetPr>
  <dimension ref="B2:N43"/>
  <sheetViews>
    <sheetView showGridLines="0" zoomScale="170" zoomScaleNormal="170" workbookViewId="0">
      <selection activeCell="E14" sqref="E14"/>
    </sheetView>
  </sheetViews>
  <sheetFormatPr baseColWidth="10" defaultColWidth="9.1640625" defaultRowHeight="13"/>
  <cols>
    <col min="1" max="1" width="3.5" style="2" customWidth="1"/>
    <col min="2" max="2" width="31.5" style="2" bestFit="1" customWidth="1"/>
    <col min="3" max="3" width="6.6640625" style="2" customWidth="1"/>
    <col min="4" max="4" width="6.5" style="2" customWidth="1"/>
    <col min="5" max="13" width="10.6640625" style="2" customWidth="1"/>
    <col min="14" max="14" width="9.5" style="2" bestFit="1" customWidth="1"/>
    <col min="15" max="16384" width="9.1640625" style="2"/>
  </cols>
  <sheetData>
    <row r="2" spans="2:14">
      <c r="B2" s="37" t="s">
        <v>51</v>
      </c>
    </row>
    <row r="4" spans="2:14">
      <c r="B4" s="37" t="s">
        <v>69</v>
      </c>
      <c r="C4" s="37" t="s">
        <v>360</v>
      </c>
      <c r="D4" s="37"/>
      <c r="E4" s="93">
        <f>Assumptions!E82</f>
        <v>44286</v>
      </c>
      <c r="F4" s="93">
        <f>Assumptions!F82</f>
        <v>44651</v>
      </c>
      <c r="G4" s="93">
        <f>Assumptions!G82</f>
        <v>45016</v>
      </c>
      <c r="H4" s="93">
        <f>Assumptions!H82</f>
        <v>45382</v>
      </c>
      <c r="I4" s="93">
        <f>Assumptions!I82</f>
        <v>45747</v>
      </c>
      <c r="J4" s="93">
        <f>Assumptions!J82</f>
        <v>46112</v>
      </c>
      <c r="K4" s="93">
        <f>Assumptions!K82</f>
        <v>46477</v>
      </c>
      <c r="L4" s="93">
        <f>Assumptions!L82</f>
        <v>46843</v>
      </c>
      <c r="M4" s="93">
        <f>Assumptions!M82</f>
        <v>47208</v>
      </c>
      <c r="N4" s="93">
        <f>Assumptions!N82</f>
        <v>47573</v>
      </c>
    </row>
    <row r="5" spans="2:14">
      <c r="B5" s="44" t="s">
        <v>95</v>
      </c>
      <c r="C5" s="44"/>
      <c r="D5" s="44"/>
      <c r="E5" s="44">
        <f>Assumptions!E83</f>
        <v>3</v>
      </c>
      <c r="F5" s="44">
        <f>Assumptions!F83</f>
        <v>12</v>
      </c>
      <c r="G5" s="44">
        <f>Assumptions!G83</f>
        <v>12</v>
      </c>
      <c r="H5" s="44">
        <f>Assumptions!H83</f>
        <v>12</v>
      </c>
      <c r="I5" s="44">
        <f>Assumptions!I83</f>
        <v>12</v>
      </c>
      <c r="J5" s="44">
        <f>Assumptions!J83</f>
        <v>12</v>
      </c>
      <c r="K5" s="44">
        <f>Assumptions!K83</f>
        <v>12</v>
      </c>
      <c r="L5" s="44">
        <f>Assumptions!L83</f>
        <v>12</v>
      </c>
      <c r="M5" s="44">
        <f>Assumptions!M83</f>
        <v>12</v>
      </c>
      <c r="N5" s="44">
        <f>Assumptions!N83</f>
        <v>12</v>
      </c>
    </row>
    <row r="6" spans="2:14">
      <c r="B6" s="120" t="s">
        <v>96</v>
      </c>
    </row>
    <row r="7" spans="2:14">
      <c r="B7" s="2" t="s">
        <v>367</v>
      </c>
      <c r="C7" s="253">
        <f>Assumptions!D117</f>
        <v>0.75</v>
      </c>
      <c r="E7" s="89">
        <f>PL!D14/WC!E5*WC!$C$7</f>
        <v>27.594000000000008</v>
      </c>
      <c r="F7" s="89">
        <f>PL!E14/WC!F5*WC!$C$7</f>
        <v>32.192999999999998</v>
      </c>
      <c r="G7" s="89">
        <f>PL!F14/WC!G5*WC!$C$7</f>
        <v>41.390999999999998</v>
      </c>
      <c r="H7" s="89">
        <f>PL!G14/WC!H5*WC!$C$7</f>
        <v>50.589000000000013</v>
      </c>
      <c r="I7" s="89">
        <f>PL!H14/WC!I5*WC!$C$7</f>
        <v>59.786999999999992</v>
      </c>
      <c r="J7" s="89">
        <f>PL!I14/WC!J5*WC!$C$7</f>
        <v>68.985000000000014</v>
      </c>
      <c r="K7" s="89">
        <f>PL!J14/WC!K5*WC!$C$7</f>
        <v>68.985000000000014</v>
      </c>
      <c r="L7" s="89">
        <f>PL!K14/WC!L5*WC!$C$7</f>
        <v>68.985000000000014</v>
      </c>
      <c r="M7" s="89">
        <f>PL!L14/WC!M5*WC!$C$7</f>
        <v>68.985000000000014</v>
      </c>
      <c r="N7" s="89">
        <f>PL!M14/WC!N5*WC!$C$7</f>
        <v>68.985000000000014</v>
      </c>
    </row>
    <row r="8" spans="2:14">
      <c r="B8" s="2" t="s">
        <v>344</v>
      </c>
      <c r="C8" s="253">
        <f>Assumptions!D118</f>
        <v>0.5</v>
      </c>
      <c r="E8" s="89">
        <f>CoP!E42</f>
        <v>25.294</v>
      </c>
      <c r="F8" s="89">
        <f>CoP!F42</f>
        <v>29.320799999999998</v>
      </c>
      <c r="G8" s="89">
        <f>CoP!G42</f>
        <v>37.259790000000002</v>
      </c>
      <c r="H8" s="89">
        <f>CoP!H42</f>
        <v>45.208729500000025</v>
      </c>
      <c r="I8" s="89">
        <f>CoP!I42</f>
        <v>53.168445975000026</v>
      </c>
      <c r="J8" s="89">
        <f>CoP!J42</f>
        <v>61.139841273750008</v>
      </c>
      <c r="K8" s="89">
        <f>CoP!K42</f>
        <v>61.317898637437509</v>
      </c>
      <c r="L8" s="89">
        <f>CoP!L42</f>
        <v>61.509690399309399</v>
      </c>
      <c r="M8" s="89">
        <f>CoP!M42</f>
        <v>61.716386432274852</v>
      </c>
      <c r="N8" s="89">
        <f>CoP!N42</f>
        <v>61.939263418188595</v>
      </c>
    </row>
    <row r="9" spans="2:14">
      <c r="B9" s="2" t="s">
        <v>345</v>
      </c>
      <c r="C9" s="253">
        <f>Assumptions!D119</f>
        <v>0.25</v>
      </c>
      <c r="D9" s="27"/>
      <c r="E9" s="89">
        <f>CoP!E50</f>
        <v>15.80875</v>
      </c>
      <c r="F9" s="89">
        <f>CoP!F50</f>
        <v>18.325499999999998</v>
      </c>
      <c r="G9" s="89">
        <f>CoP!G50</f>
        <v>23.287368749999999</v>
      </c>
      <c r="H9" s="89">
        <f>CoP!H50</f>
        <v>28.255455937500013</v>
      </c>
      <c r="I9" s="89">
        <f>CoP!I50</f>
        <v>33.230278734375013</v>
      </c>
      <c r="J9" s="89">
        <f>CoP!J50</f>
        <v>38.212400796093753</v>
      </c>
      <c r="K9" s="89">
        <f>CoP!K50</f>
        <v>38.323686648398443</v>
      </c>
      <c r="L9" s="89">
        <f>CoP!L50</f>
        <v>38.443556499568373</v>
      </c>
      <c r="M9" s="89">
        <f>CoP!M50</f>
        <v>38.572741520171782</v>
      </c>
      <c r="N9" s="89">
        <f>CoP!N50</f>
        <v>38.712039636367869</v>
      </c>
    </row>
    <row r="10" spans="2:14">
      <c r="B10" s="2" t="s">
        <v>102</v>
      </c>
      <c r="C10" s="253">
        <f>Assumptions!D120</f>
        <v>1.5</v>
      </c>
      <c r="D10" s="89"/>
      <c r="E10" s="89">
        <f>PL!D10/WC!E5*$C$10</f>
        <v>80.445959999999999</v>
      </c>
      <c r="F10" s="89">
        <f>PL!E10/WC!F5*$C$10</f>
        <v>123.08955749999998</v>
      </c>
      <c r="G10" s="89">
        <f>PL!F10/WC!G5*$C$10</f>
        <v>157.484565</v>
      </c>
      <c r="H10" s="89">
        <f>PL!G10/WC!H5*$C$10</f>
        <v>192.96238500000004</v>
      </c>
      <c r="I10" s="89">
        <f>PL!H10/WC!I5*$C$10</f>
        <v>228.44020499999999</v>
      </c>
      <c r="J10" s="89">
        <f>PL!I10/WC!J5*$C$10</f>
        <v>263.918025</v>
      </c>
      <c r="K10" s="89">
        <f>PL!J10/WC!K5*$C$10</f>
        <v>266.08364999999998</v>
      </c>
      <c r="L10" s="89">
        <f>PL!K10/WC!L5*$C$10</f>
        <v>266.08364999999998</v>
      </c>
      <c r="M10" s="89">
        <f>PL!L10/WC!M5*$C$10</f>
        <v>266.08364999999998</v>
      </c>
      <c r="N10" s="89">
        <f>PL!M10/WC!N5*$C$10</f>
        <v>266.08364999999998</v>
      </c>
    </row>
    <row r="11" spans="2:14">
      <c r="B11" s="2" t="s">
        <v>84</v>
      </c>
      <c r="C11" s="253">
        <f>Assumptions!D121</f>
        <v>0.01</v>
      </c>
      <c r="E11" s="89">
        <f>PL!D10*WC!$C$11</f>
        <v>1.6089192000000001</v>
      </c>
      <c r="F11" s="89">
        <f>PL!E10*WC!$C$11</f>
        <v>9.8471645999999993</v>
      </c>
      <c r="G11" s="89">
        <f>PL!F10*WC!$C$11</f>
        <v>12.598765200000001</v>
      </c>
      <c r="H11" s="89">
        <f>PL!G10*WC!$C$11</f>
        <v>15.436990800000004</v>
      </c>
      <c r="I11" s="89">
        <f>PL!H10*WC!$C$11</f>
        <v>18.275216400000001</v>
      </c>
      <c r="J11" s="89">
        <f>PL!I10*WC!$C$11</f>
        <v>21.113441999999999</v>
      </c>
      <c r="K11" s="89">
        <f>PL!J10*WC!$C$11</f>
        <v>21.286691999999999</v>
      </c>
      <c r="L11" s="89">
        <f>PL!K10*WC!$C$11</f>
        <v>21.286691999999999</v>
      </c>
      <c r="M11" s="89">
        <f>PL!L10*WC!$C$11</f>
        <v>21.286691999999999</v>
      </c>
      <c r="N11" s="89">
        <f>PL!M10*WC!$C$11</f>
        <v>21.286691999999999</v>
      </c>
    </row>
    <row r="12" spans="2:14">
      <c r="B12" s="121" t="s">
        <v>97</v>
      </c>
      <c r="C12" s="121"/>
      <c r="D12" s="121"/>
      <c r="E12" s="145">
        <f>SUM(E7:E11)</f>
        <v>150.75162920000002</v>
      </c>
      <c r="F12" s="145">
        <f t="shared" ref="F12:N12" si="0">SUM(F7:F11)</f>
        <v>212.77602209999998</v>
      </c>
      <c r="G12" s="145">
        <f t="shared" si="0"/>
        <v>272.02148894999999</v>
      </c>
      <c r="H12" s="145">
        <f t="shared" si="0"/>
        <v>332.45256123750005</v>
      </c>
      <c r="I12" s="145">
        <f t="shared" si="0"/>
        <v>392.90114610937496</v>
      </c>
      <c r="J12" s="145">
        <f t="shared" si="0"/>
        <v>453.36870906984376</v>
      </c>
      <c r="K12" s="145">
        <f t="shared" si="0"/>
        <v>455.99692728583597</v>
      </c>
      <c r="L12" s="145">
        <f t="shared" si="0"/>
        <v>456.30858889887776</v>
      </c>
      <c r="M12" s="145">
        <f t="shared" si="0"/>
        <v>456.64446995244663</v>
      </c>
      <c r="N12" s="145">
        <f t="shared" si="0"/>
        <v>457.00664505455649</v>
      </c>
    </row>
    <row r="13" spans="2:14">
      <c r="B13" s="120" t="s">
        <v>64</v>
      </c>
    </row>
    <row r="14" spans="2:14">
      <c r="B14" s="2" t="s">
        <v>432</v>
      </c>
      <c r="C14" s="27">
        <f>Assumptions!D122</f>
        <v>1</v>
      </c>
      <c r="E14" s="89">
        <f>E27/E5*$C$14</f>
        <v>45.990000000000009</v>
      </c>
      <c r="F14" s="89">
        <f t="shared" ref="F14:N14" si="1">F27/F5*$C$14</f>
        <v>43.307249999999989</v>
      </c>
      <c r="G14" s="89">
        <f t="shared" si="1"/>
        <v>55.954499999999996</v>
      </c>
      <c r="H14" s="89">
        <f t="shared" si="1"/>
        <v>68.21850000000002</v>
      </c>
      <c r="I14" s="89">
        <f t="shared" si="1"/>
        <v>80.482500000000002</v>
      </c>
      <c r="J14" s="89">
        <f t="shared" si="1"/>
        <v>92.746500000000026</v>
      </c>
      <c r="K14" s="89">
        <f t="shared" si="1"/>
        <v>91.980000000000018</v>
      </c>
      <c r="L14" s="89">
        <f t="shared" si="1"/>
        <v>91.980000000000018</v>
      </c>
      <c r="M14" s="89">
        <f t="shared" si="1"/>
        <v>91.980000000000018</v>
      </c>
      <c r="N14" s="89">
        <f t="shared" si="1"/>
        <v>91.980000000000018</v>
      </c>
    </row>
    <row r="15" spans="2:14">
      <c r="B15" s="2" t="s">
        <v>433</v>
      </c>
      <c r="E15" s="89"/>
      <c r="F15" s="89"/>
      <c r="G15" s="89"/>
      <c r="H15" s="89"/>
      <c r="I15" s="89"/>
      <c r="J15" s="89"/>
      <c r="K15" s="89"/>
      <c r="L15" s="89"/>
      <c r="M15" s="89"/>
      <c r="N15" s="89"/>
    </row>
    <row r="16" spans="2:14">
      <c r="B16" s="121" t="s">
        <v>100</v>
      </c>
      <c r="C16" s="121"/>
      <c r="D16" s="121"/>
      <c r="E16" s="145">
        <f>E14+E15</f>
        <v>45.990000000000009</v>
      </c>
      <c r="F16" s="145">
        <f t="shared" ref="F16:N16" si="2">F14+F15</f>
        <v>43.307249999999989</v>
      </c>
      <c r="G16" s="145">
        <f t="shared" si="2"/>
        <v>55.954499999999996</v>
      </c>
      <c r="H16" s="145">
        <f t="shared" si="2"/>
        <v>68.21850000000002</v>
      </c>
      <c r="I16" s="145">
        <f t="shared" si="2"/>
        <v>80.482500000000002</v>
      </c>
      <c r="J16" s="145">
        <f t="shared" si="2"/>
        <v>92.746500000000026</v>
      </c>
      <c r="K16" s="145">
        <f t="shared" si="2"/>
        <v>91.980000000000018</v>
      </c>
      <c r="L16" s="145">
        <f t="shared" si="2"/>
        <v>91.980000000000018</v>
      </c>
      <c r="M16" s="145">
        <f t="shared" si="2"/>
        <v>91.980000000000018</v>
      </c>
      <c r="N16" s="145">
        <f t="shared" si="2"/>
        <v>91.980000000000018</v>
      </c>
    </row>
    <row r="17" spans="2:14">
      <c r="B17" s="2" t="s">
        <v>361</v>
      </c>
      <c r="E17" s="27">
        <f>E12-E16</f>
        <v>104.76162920000002</v>
      </c>
      <c r="F17" s="27">
        <f t="shared" ref="F17:N17" si="3">F12-F16</f>
        <v>169.4687721</v>
      </c>
      <c r="G17" s="27">
        <f t="shared" si="3"/>
        <v>216.06698895</v>
      </c>
      <c r="H17" s="27">
        <f t="shared" si="3"/>
        <v>264.23406123750004</v>
      </c>
      <c r="I17" s="27">
        <f t="shared" si="3"/>
        <v>312.41864610937495</v>
      </c>
      <c r="J17" s="27">
        <f t="shared" si="3"/>
        <v>360.62220906984373</v>
      </c>
      <c r="K17" s="27">
        <f t="shared" si="3"/>
        <v>364.01692728583595</v>
      </c>
      <c r="L17" s="27">
        <f t="shared" si="3"/>
        <v>364.32858889887774</v>
      </c>
      <c r="M17" s="27">
        <f t="shared" si="3"/>
        <v>364.66446995244661</v>
      </c>
      <c r="N17" s="27">
        <f t="shared" si="3"/>
        <v>365.02664505455647</v>
      </c>
    </row>
    <row r="18" spans="2:14">
      <c r="B18" s="2" t="s">
        <v>41</v>
      </c>
      <c r="C18" s="23">
        <f>Assumptions!D126</f>
        <v>0.25</v>
      </c>
      <c r="E18" s="253">
        <f>E17*$C$18</f>
        <v>26.190407300000004</v>
      </c>
      <c r="F18" s="27">
        <f t="shared" ref="F18:N18" si="4">F17*$C$18</f>
        <v>42.367193024999999</v>
      </c>
      <c r="G18" s="27">
        <f t="shared" si="4"/>
        <v>54.016747237499999</v>
      </c>
      <c r="H18" s="27">
        <f t="shared" si="4"/>
        <v>66.058515309375011</v>
      </c>
      <c r="I18" s="27">
        <f t="shared" si="4"/>
        <v>78.104661527343737</v>
      </c>
      <c r="J18" s="27">
        <f t="shared" si="4"/>
        <v>90.155552267460934</v>
      </c>
      <c r="K18" s="27">
        <f t="shared" si="4"/>
        <v>91.004231821458987</v>
      </c>
      <c r="L18" s="27">
        <f t="shared" si="4"/>
        <v>91.082147224719435</v>
      </c>
      <c r="M18" s="27">
        <f t="shared" si="4"/>
        <v>91.166117488111652</v>
      </c>
      <c r="N18" s="27">
        <f t="shared" si="4"/>
        <v>91.256661263639117</v>
      </c>
    </row>
    <row r="19" spans="2:14">
      <c r="B19" s="81" t="s">
        <v>446</v>
      </c>
      <c r="C19" s="227"/>
      <c r="D19" s="81"/>
      <c r="E19" s="176">
        <f>E17-E18</f>
        <v>78.571221900000012</v>
      </c>
      <c r="F19" s="176">
        <f t="shared" ref="F19:N19" si="5">F17-F18</f>
        <v>127.10157907499999</v>
      </c>
      <c r="G19" s="176">
        <f t="shared" si="5"/>
        <v>162.0502417125</v>
      </c>
      <c r="H19" s="176">
        <f t="shared" si="5"/>
        <v>198.17554592812502</v>
      </c>
      <c r="I19" s="176">
        <f t="shared" si="5"/>
        <v>234.3139845820312</v>
      </c>
      <c r="J19" s="176">
        <f t="shared" si="5"/>
        <v>270.46665680238277</v>
      </c>
      <c r="K19" s="176">
        <f t="shared" si="5"/>
        <v>273.01269546437697</v>
      </c>
      <c r="L19" s="176">
        <f t="shared" si="5"/>
        <v>273.24644167415829</v>
      </c>
      <c r="M19" s="176">
        <f t="shared" si="5"/>
        <v>273.49835246433497</v>
      </c>
      <c r="N19" s="176">
        <f t="shared" si="5"/>
        <v>273.76998379091737</v>
      </c>
    </row>
    <row r="20" spans="2:14">
      <c r="B20" s="121" t="s">
        <v>101</v>
      </c>
      <c r="C20" s="121"/>
      <c r="D20" s="121"/>
      <c r="E20" s="145">
        <f>E19</f>
        <v>78.571221900000012</v>
      </c>
      <c r="F20" s="145">
        <f t="shared" ref="F20:N20" si="6">F19</f>
        <v>127.10157907499999</v>
      </c>
      <c r="G20" s="145">
        <f t="shared" si="6"/>
        <v>162.0502417125</v>
      </c>
      <c r="H20" s="145">
        <f t="shared" si="6"/>
        <v>198.17554592812502</v>
      </c>
      <c r="I20" s="145">
        <f t="shared" si="6"/>
        <v>234.3139845820312</v>
      </c>
      <c r="J20" s="145">
        <f t="shared" si="6"/>
        <v>270.46665680238277</v>
      </c>
      <c r="K20" s="145">
        <f t="shared" si="6"/>
        <v>273.01269546437697</v>
      </c>
      <c r="L20" s="145">
        <f t="shared" si="6"/>
        <v>273.24644167415829</v>
      </c>
      <c r="M20" s="145">
        <f t="shared" si="6"/>
        <v>273.49835246433497</v>
      </c>
      <c r="N20" s="145">
        <f t="shared" si="6"/>
        <v>273.76998379091737</v>
      </c>
    </row>
    <row r="22" spans="2:14">
      <c r="B22" s="120" t="s">
        <v>110</v>
      </c>
      <c r="C22" s="49">
        <f>Assumptions!D125</f>
        <v>0.1</v>
      </c>
      <c r="E22" s="27">
        <f>E20*$C$22/12*E5</f>
        <v>1.9642805475000005</v>
      </c>
      <c r="F22" s="27">
        <f t="shared" ref="F22:N22" si="7">F20*$C$22/12*F5</f>
        <v>12.710157907500001</v>
      </c>
      <c r="G22" s="27">
        <f t="shared" si="7"/>
        <v>16.205024171249999</v>
      </c>
      <c r="H22" s="27">
        <f t="shared" si="7"/>
        <v>19.817554592812503</v>
      </c>
      <c r="I22" s="27">
        <f t="shared" si="7"/>
        <v>23.43139845820312</v>
      </c>
      <c r="J22" s="27">
        <f t="shared" si="7"/>
        <v>27.046665680238277</v>
      </c>
      <c r="K22" s="27">
        <f t="shared" si="7"/>
        <v>27.301269546437698</v>
      </c>
      <c r="L22" s="27">
        <f t="shared" si="7"/>
        <v>27.324644167415833</v>
      </c>
      <c r="M22" s="27">
        <f t="shared" si="7"/>
        <v>27.3498352464335</v>
      </c>
      <c r="N22" s="27">
        <f t="shared" si="7"/>
        <v>27.376998379091738</v>
      </c>
    </row>
    <row r="23" spans="2:14">
      <c r="B23" s="120" t="s">
        <v>52</v>
      </c>
      <c r="C23" s="23">
        <f>Assumptions!D124</f>
        <v>0.02</v>
      </c>
      <c r="E23" s="27">
        <f>E20*$C$23</f>
        <v>1.5714244380000002</v>
      </c>
      <c r="F23" s="27">
        <f t="shared" ref="F23:N23" si="8">F20*$C$23</f>
        <v>2.5420315814999999</v>
      </c>
      <c r="G23" s="27">
        <f t="shared" si="8"/>
        <v>3.24100483425</v>
      </c>
      <c r="H23" s="27">
        <f t="shared" si="8"/>
        <v>3.9635109185625006</v>
      </c>
      <c r="I23" s="27">
        <f t="shared" si="8"/>
        <v>4.6862796916406237</v>
      </c>
      <c r="J23" s="27">
        <f t="shared" si="8"/>
        <v>5.409333136047656</v>
      </c>
      <c r="K23" s="27">
        <f t="shared" si="8"/>
        <v>5.4602539092875393</v>
      </c>
      <c r="L23" s="27">
        <f t="shared" si="8"/>
        <v>5.4649288334831656</v>
      </c>
      <c r="M23" s="27">
        <f t="shared" si="8"/>
        <v>5.4699670492866996</v>
      </c>
      <c r="N23" s="27">
        <f t="shared" si="8"/>
        <v>5.4753996758183474</v>
      </c>
    </row>
    <row r="25" spans="2:14">
      <c r="B25" s="37" t="s">
        <v>152</v>
      </c>
      <c r="C25" s="37"/>
      <c r="D25" s="37"/>
      <c r="E25" s="93">
        <f t="shared" ref="E25:N25" si="9">E4</f>
        <v>44286</v>
      </c>
      <c r="F25" s="93">
        <f t="shared" si="9"/>
        <v>44651</v>
      </c>
      <c r="G25" s="93">
        <f t="shared" si="9"/>
        <v>45016</v>
      </c>
      <c r="H25" s="93">
        <f t="shared" si="9"/>
        <v>45382</v>
      </c>
      <c r="I25" s="93">
        <f t="shared" si="9"/>
        <v>45747</v>
      </c>
      <c r="J25" s="93">
        <f t="shared" si="9"/>
        <v>46112</v>
      </c>
      <c r="K25" s="93">
        <f t="shared" si="9"/>
        <v>46477</v>
      </c>
      <c r="L25" s="93">
        <f t="shared" si="9"/>
        <v>46843</v>
      </c>
      <c r="M25" s="93">
        <f t="shared" si="9"/>
        <v>47208</v>
      </c>
      <c r="N25" s="93">
        <f t="shared" si="9"/>
        <v>47573</v>
      </c>
    </row>
    <row r="26" spans="2:14">
      <c r="B26" s="2" t="s">
        <v>153</v>
      </c>
      <c r="E26" s="2">
        <v>0</v>
      </c>
      <c r="F26" s="27">
        <f>E28</f>
        <v>27.594000000000008</v>
      </c>
      <c r="G26" s="27">
        <f t="shared" ref="G26:N26" si="10">F28</f>
        <v>32.192999999999998</v>
      </c>
      <c r="H26" s="27">
        <f t="shared" si="10"/>
        <v>41.390999999999998</v>
      </c>
      <c r="I26" s="27">
        <f t="shared" si="10"/>
        <v>50.589000000000013</v>
      </c>
      <c r="J26" s="27">
        <f t="shared" si="10"/>
        <v>59.786999999999992</v>
      </c>
      <c r="K26" s="27">
        <f t="shared" si="10"/>
        <v>68.985000000000014</v>
      </c>
      <c r="L26" s="27">
        <f t="shared" si="10"/>
        <v>68.985000000000014</v>
      </c>
      <c r="M26" s="27">
        <f t="shared" si="10"/>
        <v>68.985000000000014</v>
      </c>
      <c r="N26" s="27">
        <f t="shared" si="10"/>
        <v>68.985000000000014</v>
      </c>
    </row>
    <row r="27" spans="2:14">
      <c r="B27" s="2" t="s">
        <v>154</v>
      </c>
      <c r="E27" s="27">
        <f>E29+E28-E26</f>
        <v>137.97000000000003</v>
      </c>
      <c r="F27" s="27">
        <f t="shared" ref="F27:N27" si="11">F29+F28-F26</f>
        <v>519.6869999999999</v>
      </c>
      <c r="G27" s="27">
        <f t="shared" si="11"/>
        <v>671.45399999999995</v>
      </c>
      <c r="H27" s="27">
        <f t="shared" si="11"/>
        <v>818.6220000000003</v>
      </c>
      <c r="I27" s="27">
        <f t="shared" si="11"/>
        <v>965.79</v>
      </c>
      <c r="J27" s="27">
        <f t="shared" si="11"/>
        <v>1112.9580000000003</v>
      </c>
      <c r="K27" s="27">
        <f t="shared" si="11"/>
        <v>1103.7600000000002</v>
      </c>
      <c r="L27" s="27">
        <f t="shared" si="11"/>
        <v>1103.7600000000002</v>
      </c>
      <c r="M27" s="27">
        <f t="shared" si="11"/>
        <v>1103.7600000000002</v>
      </c>
      <c r="N27" s="27">
        <f t="shared" si="11"/>
        <v>1103.7600000000002</v>
      </c>
    </row>
    <row r="28" spans="2:14">
      <c r="B28" s="2" t="s">
        <v>155</v>
      </c>
      <c r="E28" s="27">
        <f>E7</f>
        <v>27.594000000000008</v>
      </c>
      <c r="F28" s="27">
        <f t="shared" ref="F28:N28" si="12">F7</f>
        <v>32.192999999999998</v>
      </c>
      <c r="G28" s="27">
        <f t="shared" si="12"/>
        <v>41.390999999999998</v>
      </c>
      <c r="H28" s="27">
        <f t="shared" si="12"/>
        <v>50.589000000000013</v>
      </c>
      <c r="I28" s="27">
        <f t="shared" si="12"/>
        <v>59.786999999999992</v>
      </c>
      <c r="J28" s="27">
        <f t="shared" si="12"/>
        <v>68.985000000000014</v>
      </c>
      <c r="K28" s="27">
        <f t="shared" si="12"/>
        <v>68.985000000000014</v>
      </c>
      <c r="L28" s="27">
        <f t="shared" si="12"/>
        <v>68.985000000000014</v>
      </c>
      <c r="M28" s="27">
        <f t="shared" si="12"/>
        <v>68.985000000000014</v>
      </c>
      <c r="N28" s="27">
        <f t="shared" si="12"/>
        <v>68.985000000000014</v>
      </c>
    </row>
    <row r="29" spans="2:14">
      <c r="B29" s="44" t="s">
        <v>156</v>
      </c>
      <c r="C29" s="44"/>
      <c r="D29" s="44"/>
      <c r="E29" s="144">
        <f>PL!D14</f>
        <v>110.37600000000002</v>
      </c>
      <c r="F29" s="144">
        <f>PL!E14</f>
        <v>515.08799999999997</v>
      </c>
      <c r="G29" s="144">
        <f>PL!F14</f>
        <v>662.25599999999997</v>
      </c>
      <c r="H29" s="144">
        <f>PL!G14</f>
        <v>809.42400000000021</v>
      </c>
      <c r="I29" s="144">
        <f>PL!H14</f>
        <v>956.59199999999998</v>
      </c>
      <c r="J29" s="144">
        <f>PL!I14</f>
        <v>1103.7600000000002</v>
      </c>
      <c r="K29" s="144">
        <f>PL!J14</f>
        <v>1103.7600000000002</v>
      </c>
      <c r="L29" s="144">
        <f>PL!K14</f>
        <v>1103.7600000000002</v>
      </c>
      <c r="M29" s="144">
        <f>PL!L14</f>
        <v>1103.7600000000002</v>
      </c>
      <c r="N29" s="144">
        <f>PL!M14</f>
        <v>1103.7600000000002</v>
      </c>
    </row>
    <row r="31" spans="2:14">
      <c r="E31" s="27"/>
      <c r="F31" s="27"/>
    </row>
    <row r="32" spans="2:14">
      <c r="B32" s="120" t="s">
        <v>444</v>
      </c>
      <c r="E32" s="27"/>
      <c r="F32" s="27"/>
    </row>
    <row r="33" spans="2:14">
      <c r="B33" s="2" t="s">
        <v>427</v>
      </c>
      <c r="E33" s="26"/>
      <c r="F33" s="26"/>
      <c r="G33" s="26"/>
      <c r="H33" s="26"/>
      <c r="I33" s="26"/>
      <c r="J33" s="26"/>
      <c r="K33" s="26"/>
      <c r="L33" s="26"/>
      <c r="M33" s="26"/>
      <c r="N33" s="26"/>
    </row>
    <row r="34" spans="2:14">
      <c r="B34" s="2" t="s">
        <v>428</v>
      </c>
      <c r="E34" s="26"/>
      <c r="F34" s="26"/>
      <c r="G34" s="26"/>
      <c r="H34" s="26"/>
      <c r="I34" s="26"/>
      <c r="J34" s="26"/>
      <c r="K34" s="26"/>
      <c r="L34" s="26"/>
      <c r="M34" s="26"/>
      <c r="N34" s="26"/>
    </row>
    <row r="35" spans="2:14">
      <c r="B35" s="2" t="s">
        <v>430</v>
      </c>
      <c r="E35" s="26"/>
      <c r="F35" s="26"/>
      <c r="G35" s="26"/>
      <c r="H35" s="26"/>
      <c r="I35" s="26"/>
      <c r="J35" s="26"/>
      <c r="K35" s="26"/>
      <c r="L35" s="26"/>
      <c r="M35" s="26"/>
      <c r="N35" s="26"/>
    </row>
    <row r="36" spans="2:14">
      <c r="E36" s="26"/>
      <c r="F36" s="26"/>
      <c r="G36" s="26"/>
      <c r="H36" s="26"/>
      <c r="I36" s="26"/>
      <c r="J36" s="26"/>
      <c r="K36" s="26"/>
      <c r="L36" s="26"/>
      <c r="M36" s="26"/>
      <c r="N36" s="26"/>
    </row>
    <row r="37" spans="2:14">
      <c r="B37" s="2" t="s">
        <v>429</v>
      </c>
      <c r="E37" s="26"/>
      <c r="F37" s="26"/>
      <c r="G37" s="26"/>
      <c r="H37" s="26"/>
      <c r="I37" s="26"/>
      <c r="J37" s="26"/>
      <c r="K37" s="26"/>
      <c r="L37" s="26"/>
      <c r="M37" s="26"/>
      <c r="N37" s="26"/>
    </row>
    <row r="38" spans="2:14">
      <c r="B38" s="2" t="s">
        <v>431</v>
      </c>
      <c r="E38" s="26"/>
      <c r="F38" s="26"/>
      <c r="G38" s="26"/>
      <c r="H38" s="26"/>
      <c r="I38" s="26"/>
      <c r="J38" s="26"/>
      <c r="K38" s="26"/>
      <c r="L38" s="26"/>
      <c r="M38" s="26"/>
      <c r="N38" s="26"/>
    </row>
    <row r="40" spans="2:14">
      <c r="B40" s="2" t="s">
        <v>445</v>
      </c>
      <c r="E40" s="26"/>
      <c r="F40" s="26"/>
      <c r="G40" s="26"/>
      <c r="H40" s="26"/>
      <c r="I40" s="26"/>
      <c r="J40" s="26"/>
      <c r="K40" s="26"/>
      <c r="L40" s="26"/>
      <c r="M40" s="26"/>
      <c r="N40" s="26"/>
    </row>
    <row r="41" spans="2:14">
      <c r="E41" s="27"/>
      <c r="F41" s="27"/>
      <c r="G41" s="27"/>
      <c r="H41" s="27"/>
      <c r="I41" s="27"/>
      <c r="J41" s="27"/>
      <c r="K41" s="27"/>
      <c r="L41" s="27"/>
      <c r="M41" s="27"/>
      <c r="N41" s="27"/>
    </row>
    <row r="43" spans="2:14">
      <c r="E43" s="26"/>
      <c r="F43" s="26"/>
      <c r="G43" s="26"/>
      <c r="H43" s="26"/>
      <c r="I43" s="26"/>
      <c r="J43" s="26"/>
      <c r="K43" s="26"/>
      <c r="L43" s="26"/>
      <c r="M43" s="26"/>
      <c r="N43" s="26"/>
    </row>
  </sheetData>
  <pageMargins left="0.7" right="0.7" top="0.75" bottom="0.75" header="0.3" footer="0.3"/>
  <pageSetup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B2:O79"/>
  <sheetViews>
    <sheetView showGridLines="0" topLeftCell="A10" zoomScale="180" zoomScaleNormal="180" workbookViewId="0">
      <selection activeCell="D39" sqref="D39"/>
    </sheetView>
  </sheetViews>
  <sheetFormatPr baseColWidth="10" defaultColWidth="9.1640625" defaultRowHeight="13"/>
  <cols>
    <col min="1" max="1" width="4.33203125" style="2" customWidth="1"/>
    <col min="2" max="2" width="36.5" style="2" customWidth="1"/>
    <col min="3" max="13" width="10.6640625" style="2" customWidth="1"/>
    <col min="14" max="16384" width="9.1640625" style="2"/>
  </cols>
  <sheetData>
    <row r="2" spans="2:15">
      <c r="B2" s="37" t="s">
        <v>195</v>
      </c>
    </row>
    <row r="3" spans="2:15">
      <c r="M3" s="120" t="s">
        <v>310</v>
      </c>
    </row>
    <row r="4" spans="2:15">
      <c r="B4" s="37" t="s">
        <v>69</v>
      </c>
      <c r="C4" s="93">
        <f>EOMONTH(D4,-12)</f>
        <v>43921</v>
      </c>
      <c r="D4" s="93">
        <f>Assumptions!E82</f>
        <v>44286</v>
      </c>
      <c r="E4" s="93">
        <f>Assumptions!F82</f>
        <v>44651</v>
      </c>
      <c r="F4" s="93">
        <f>Assumptions!G82</f>
        <v>45016</v>
      </c>
      <c r="G4" s="93">
        <f>Assumptions!H82</f>
        <v>45382</v>
      </c>
      <c r="H4" s="93">
        <f>Assumptions!I82</f>
        <v>45747</v>
      </c>
      <c r="I4" s="93">
        <f>Assumptions!J82</f>
        <v>46112</v>
      </c>
      <c r="J4" s="93">
        <f>Assumptions!K82</f>
        <v>46477</v>
      </c>
      <c r="K4" s="93">
        <f>Assumptions!L82</f>
        <v>46843</v>
      </c>
      <c r="L4" s="93">
        <f>Assumptions!M82</f>
        <v>47208</v>
      </c>
      <c r="M4" s="93">
        <f>Assumptions!N82</f>
        <v>47573</v>
      </c>
    </row>
    <row r="5" spans="2:15">
      <c r="B5" s="44" t="s">
        <v>95</v>
      </c>
      <c r="C5" s="44"/>
      <c r="D5" s="44">
        <f>Assumptions!E83</f>
        <v>3</v>
      </c>
      <c r="E5" s="44">
        <f>Assumptions!F83</f>
        <v>12</v>
      </c>
      <c r="F5" s="44">
        <f>Assumptions!G83</f>
        <v>12</v>
      </c>
      <c r="G5" s="44">
        <f>Assumptions!H83</f>
        <v>12</v>
      </c>
      <c r="H5" s="44">
        <f>Assumptions!I83</f>
        <v>12</v>
      </c>
      <c r="I5" s="44">
        <f>Assumptions!J83</f>
        <v>12</v>
      </c>
      <c r="J5" s="44">
        <f>Assumptions!K83</f>
        <v>12</v>
      </c>
      <c r="K5" s="44">
        <f>Assumptions!L83</f>
        <v>12</v>
      </c>
      <c r="L5" s="44">
        <f>Assumptions!M83</f>
        <v>12</v>
      </c>
      <c r="M5" s="44">
        <f>Assumptions!N83</f>
        <v>12</v>
      </c>
    </row>
    <row r="6" spans="2:15">
      <c r="B6" s="2" t="s">
        <v>435</v>
      </c>
      <c r="D6" s="89">
        <f>CoP!E25</f>
        <v>155.92500000000001</v>
      </c>
      <c r="E6" s="89">
        <f>CoP!F25</f>
        <v>961.53750000000002</v>
      </c>
      <c r="F6" s="89">
        <f>CoP!G25</f>
        <v>1230.075</v>
      </c>
      <c r="G6" s="89">
        <f>CoP!H25</f>
        <v>1507.2750000000003</v>
      </c>
      <c r="H6" s="89">
        <f>CoP!I25</f>
        <v>1784.4749999999999</v>
      </c>
      <c r="I6" s="89">
        <f>CoP!J25</f>
        <v>2061.6750000000002</v>
      </c>
      <c r="J6" s="89">
        <f>CoP!K25</f>
        <v>2079</v>
      </c>
      <c r="K6" s="89">
        <f>CoP!L25</f>
        <v>2079</v>
      </c>
      <c r="L6" s="89">
        <f>CoP!M25</f>
        <v>2079</v>
      </c>
      <c r="M6" s="89">
        <f>CoP!N25</f>
        <v>2079</v>
      </c>
    </row>
    <row r="7" spans="2:15">
      <c r="B7" s="2" t="s">
        <v>436</v>
      </c>
      <c r="D7" s="89">
        <f>CoP!E26</f>
        <v>4.96692</v>
      </c>
      <c r="E7" s="89">
        <f>CoP!F26</f>
        <v>23.17896</v>
      </c>
      <c r="F7" s="89">
        <f>CoP!G26</f>
        <v>29.80152</v>
      </c>
      <c r="G7" s="89">
        <f>CoP!H26</f>
        <v>36.424080000000004</v>
      </c>
      <c r="H7" s="89">
        <f>CoP!I26</f>
        <v>43.046639999999996</v>
      </c>
      <c r="I7" s="89">
        <f>CoP!J26</f>
        <v>49.669199999999996</v>
      </c>
      <c r="J7" s="89">
        <f>CoP!K26</f>
        <v>49.669199999999996</v>
      </c>
      <c r="K7" s="89">
        <f>CoP!L26</f>
        <v>49.669199999999996</v>
      </c>
      <c r="L7" s="89">
        <f>CoP!M26</f>
        <v>49.669199999999996</v>
      </c>
      <c r="M7" s="89">
        <f>CoP!N26</f>
        <v>49.669199999999996</v>
      </c>
    </row>
    <row r="8" spans="2:15">
      <c r="B8" s="2" t="s">
        <v>437</v>
      </c>
      <c r="D8" s="89">
        <f>CoP!E27</f>
        <v>0</v>
      </c>
      <c r="E8" s="89">
        <f>CoP!F27</f>
        <v>0</v>
      </c>
      <c r="F8" s="89">
        <f>CoP!G27</f>
        <v>0</v>
      </c>
      <c r="G8" s="89">
        <f>CoP!H27</f>
        <v>0</v>
      </c>
      <c r="H8" s="89">
        <f>CoP!I27</f>
        <v>0</v>
      </c>
      <c r="I8" s="89">
        <f>CoP!J27</f>
        <v>0</v>
      </c>
      <c r="J8" s="89">
        <f>CoP!K27</f>
        <v>0</v>
      </c>
      <c r="K8" s="89">
        <f>CoP!L27</f>
        <v>0</v>
      </c>
      <c r="L8" s="89">
        <f>CoP!M27</f>
        <v>0</v>
      </c>
      <c r="M8" s="89">
        <f>CoP!N27</f>
        <v>0</v>
      </c>
    </row>
    <row r="9" spans="2:15">
      <c r="B9" s="2" t="s">
        <v>442</v>
      </c>
      <c r="D9" s="89"/>
      <c r="E9" s="89"/>
      <c r="F9" s="89"/>
      <c r="G9" s="89"/>
      <c r="H9" s="89"/>
      <c r="I9" s="89"/>
      <c r="J9" s="89"/>
      <c r="K9" s="89"/>
      <c r="L9" s="89"/>
      <c r="M9" s="89"/>
    </row>
    <row r="10" spans="2:15">
      <c r="B10" s="121" t="s">
        <v>47</v>
      </c>
      <c r="C10" s="121"/>
      <c r="D10" s="145">
        <f>SUM(D6:D9)</f>
        <v>160.89192</v>
      </c>
      <c r="E10" s="145">
        <f t="shared" ref="E10:M10" si="0">SUM(E6:E9)</f>
        <v>984.71645999999998</v>
      </c>
      <c r="F10" s="145">
        <f t="shared" si="0"/>
        <v>1259.87652</v>
      </c>
      <c r="G10" s="145">
        <f t="shared" si="0"/>
        <v>1543.6990800000003</v>
      </c>
      <c r="H10" s="145">
        <f t="shared" si="0"/>
        <v>1827.5216399999999</v>
      </c>
      <c r="I10" s="145">
        <f t="shared" si="0"/>
        <v>2111.3442</v>
      </c>
      <c r="J10" s="145">
        <f t="shared" si="0"/>
        <v>2128.6691999999998</v>
      </c>
      <c r="K10" s="145">
        <f t="shared" si="0"/>
        <v>2128.6691999999998</v>
      </c>
      <c r="L10" s="145">
        <f t="shared" si="0"/>
        <v>2128.6691999999998</v>
      </c>
      <c r="M10" s="145">
        <f t="shared" si="0"/>
        <v>2128.6691999999998</v>
      </c>
    </row>
    <row r="11" spans="2:15">
      <c r="B11" s="2" t="s">
        <v>359</v>
      </c>
      <c r="C11" s="23">
        <v>0.18</v>
      </c>
      <c r="D11" s="27"/>
      <c r="E11" s="27"/>
      <c r="F11" s="27"/>
      <c r="G11" s="27"/>
      <c r="H11" s="27"/>
      <c r="I11" s="27"/>
      <c r="J11" s="27"/>
      <c r="K11" s="27"/>
      <c r="L11" s="27"/>
      <c r="M11" s="27"/>
    </row>
    <row r="12" spans="2:15">
      <c r="B12" s="120" t="s">
        <v>46</v>
      </c>
      <c r="C12" s="120"/>
      <c r="D12" s="142"/>
      <c r="E12" s="142"/>
      <c r="F12" s="142"/>
      <c r="G12" s="142"/>
      <c r="H12" s="142"/>
      <c r="I12" s="142"/>
      <c r="J12" s="142"/>
      <c r="K12" s="142"/>
      <c r="L12" s="142"/>
      <c r="M12" s="142"/>
      <c r="N12" s="27"/>
    </row>
    <row r="13" spans="2:15">
      <c r="B13" s="177" t="s">
        <v>104</v>
      </c>
      <c r="D13" s="27"/>
      <c r="E13" s="27"/>
      <c r="F13" s="27"/>
      <c r="G13" s="27"/>
      <c r="H13" s="27"/>
      <c r="I13" s="27"/>
      <c r="J13" s="27"/>
      <c r="K13" s="27"/>
      <c r="O13" s="27"/>
    </row>
    <row r="14" spans="2:15">
      <c r="B14" s="2" t="s">
        <v>88</v>
      </c>
      <c r="D14" s="27">
        <f>CoP!E30</f>
        <v>110.37600000000002</v>
      </c>
      <c r="E14" s="27">
        <f>CoP!F30</f>
        <v>515.08799999999997</v>
      </c>
      <c r="F14" s="27">
        <f>CoP!G30</f>
        <v>662.25599999999997</v>
      </c>
      <c r="G14" s="27">
        <f>CoP!H30</f>
        <v>809.42400000000021</v>
      </c>
      <c r="H14" s="27">
        <f>CoP!I30</f>
        <v>956.59199999999998</v>
      </c>
      <c r="I14" s="27">
        <f>CoP!J30</f>
        <v>1103.7600000000002</v>
      </c>
      <c r="J14" s="27">
        <f>CoP!K30</f>
        <v>1103.7600000000002</v>
      </c>
      <c r="K14" s="27">
        <f>CoP!L30</f>
        <v>1103.7600000000002</v>
      </c>
      <c r="L14" s="27">
        <f>CoP!M30</f>
        <v>1103.7600000000002</v>
      </c>
      <c r="M14" s="27">
        <f>CoP!N30</f>
        <v>1103.7600000000002</v>
      </c>
      <c r="O14" s="27"/>
    </row>
    <row r="15" spans="2:15">
      <c r="B15" s="173" t="s">
        <v>289</v>
      </c>
      <c r="D15" s="27">
        <f>CoP!E31</f>
        <v>45.738</v>
      </c>
      <c r="E15" s="27">
        <f>CoP!F31</f>
        <v>213.44399999999999</v>
      </c>
      <c r="F15" s="27">
        <f>CoP!G31</f>
        <v>274.428</v>
      </c>
      <c r="G15" s="27">
        <f>CoP!H31</f>
        <v>335.41200000000003</v>
      </c>
      <c r="H15" s="27">
        <f>CoP!I31</f>
        <v>396.39600000000002</v>
      </c>
      <c r="I15" s="27">
        <f>CoP!J31</f>
        <v>457.38</v>
      </c>
      <c r="J15" s="27">
        <f>CoP!K31</f>
        <v>457.38</v>
      </c>
      <c r="K15" s="27">
        <f>CoP!L31</f>
        <v>457.38</v>
      </c>
      <c r="L15" s="27">
        <f>CoP!M31</f>
        <v>457.38</v>
      </c>
      <c r="M15" s="27">
        <f>CoP!N31</f>
        <v>457.38</v>
      </c>
      <c r="O15" s="27"/>
    </row>
    <row r="16" spans="2:15">
      <c r="B16" s="173" t="s">
        <v>83</v>
      </c>
      <c r="D16" s="27">
        <f>CoP!E32</f>
        <v>5.1840000000000002</v>
      </c>
      <c r="E16" s="27">
        <f>CoP!F32</f>
        <v>24.192</v>
      </c>
      <c r="F16" s="27">
        <f>CoP!G32</f>
        <v>31.103999999999999</v>
      </c>
      <c r="G16" s="27">
        <f>CoP!H32</f>
        <v>38.016000000000005</v>
      </c>
      <c r="H16" s="27">
        <f>CoP!I32</f>
        <v>44.927999999999997</v>
      </c>
      <c r="I16" s="27">
        <f>CoP!J32</f>
        <v>51.84</v>
      </c>
      <c r="J16" s="27">
        <f>CoP!K32</f>
        <v>51.84</v>
      </c>
      <c r="K16" s="27">
        <f>CoP!L32</f>
        <v>51.84</v>
      </c>
      <c r="L16" s="27">
        <f>CoP!M32</f>
        <v>51.84</v>
      </c>
      <c r="M16" s="27">
        <f>CoP!N32</f>
        <v>51.84</v>
      </c>
    </row>
    <row r="17" spans="2:14">
      <c r="B17" s="173" t="s">
        <v>291</v>
      </c>
      <c r="D17" s="27">
        <f>CoP!E33</f>
        <v>8.1</v>
      </c>
      <c r="E17" s="27">
        <f>CoP!F33</f>
        <v>37.799999999999997</v>
      </c>
      <c r="F17" s="27">
        <f>CoP!G33</f>
        <v>48.6</v>
      </c>
      <c r="G17" s="27">
        <f>CoP!H33</f>
        <v>59.400000000000013</v>
      </c>
      <c r="H17" s="27">
        <f>CoP!I33</f>
        <v>70.2</v>
      </c>
      <c r="I17" s="27">
        <f>CoP!J33</f>
        <v>81</v>
      </c>
      <c r="J17" s="27">
        <f>CoP!K33</f>
        <v>81</v>
      </c>
      <c r="K17" s="27">
        <f>CoP!L33</f>
        <v>81</v>
      </c>
      <c r="L17" s="27">
        <f>CoP!M33</f>
        <v>81</v>
      </c>
      <c r="M17" s="27">
        <f>CoP!N33</f>
        <v>81</v>
      </c>
    </row>
    <row r="18" spans="2:14">
      <c r="B18" s="173" t="s">
        <v>292</v>
      </c>
      <c r="D18" s="27">
        <f>CoP!E34</f>
        <v>4.1580000000000004</v>
      </c>
      <c r="E18" s="27">
        <f>CoP!F34</f>
        <v>19.404</v>
      </c>
      <c r="F18" s="27">
        <f>CoP!G34</f>
        <v>24.948</v>
      </c>
      <c r="G18" s="27">
        <f>CoP!H34</f>
        <v>30.492000000000004</v>
      </c>
      <c r="H18" s="27">
        <f>CoP!I34</f>
        <v>36.036000000000001</v>
      </c>
      <c r="I18" s="27">
        <f>CoP!J34</f>
        <v>41.58</v>
      </c>
      <c r="J18" s="27">
        <f>CoP!K34</f>
        <v>41.58</v>
      </c>
      <c r="K18" s="27">
        <f>CoP!L34</f>
        <v>41.58</v>
      </c>
      <c r="L18" s="27">
        <f>CoP!M34</f>
        <v>41.58</v>
      </c>
      <c r="M18" s="27">
        <f>CoP!N34</f>
        <v>41.58</v>
      </c>
    </row>
    <row r="19" spans="2:14">
      <c r="B19" s="173" t="s">
        <v>293</v>
      </c>
      <c r="D19" s="27">
        <f>CoP!E35</f>
        <v>2.0790000000000002</v>
      </c>
      <c r="E19" s="27">
        <f>CoP!F35</f>
        <v>9.702</v>
      </c>
      <c r="F19" s="27">
        <f>CoP!G35</f>
        <v>12.474</v>
      </c>
      <c r="G19" s="27">
        <f>CoP!H35</f>
        <v>15.246000000000002</v>
      </c>
      <c r="H19" s="27">
        <f>CoP!I35</f>
        <v>18.018000000000001</v>
      </c>
      <c r="I19" s="27">
        <f>CoP!J35</f>
        <v>20.79</v>
      </c>
      <c r="J19" s="27">
        <f>CoP!K35</f>
        <v>20.79</v>
      </c>
      <c r="K19" s="27">
        <f>CoP!L35</f>
        <v>20.79</v>
      </c>
      <c r="L19" s="27">
        <f>CoP!M35</f>
        <v>20.79</v>
      </c>
      <c r="M19" s="27">
        <f>CoP!N35</f>
        <v>20.79</v>
      </c>
    </row>
    <row r="20" spans="2:14">
      <c r="B20" s="173" t="s">
        <v>86</v>
      </c>
      <c r="D20" s="27">
        <f>CoP!E36</f>
        <v>9.57</v>
      </c>
      <c r="E20" s="27">
        <f>CoP!F36</f>
        <v>40.194000000000003</v>
      </c>
      <c r="F20" s="27">
        <f>CoP!G36</f>
        <v>42.203699999999998</v>
      </c>
      <c r="G20" s="27">
        <f>CoP!H36</f>
        <v>44.313884999999999</v>
      </c>
      <c r="H20" s="27">
        <f>CoP!I36</f>
        <v>46.529579249999998</v>
      </c>
      <c r="I20" s="27">
        <f>CoP!J36</f>
        <v>48.856058212500002</v>
      </c>
      <c r="J20" s="27">
        <f>CoP!K36</f>
        <v>51.298861123125008</v>
      </c>
      <c r="K20" s="27">
        <f>CoP!L36</f>
        <v>53.86380417928126</v>
      </c>
      <c r="L20" s="27">
        <f>CoP!M36</f>
        <v>56.556994388245329</v>
      </c>
      <c r="M20" s="27">
        <f>CoP!N36</f>
        <v>59.384844107657585</v>
      </c>
    </row>
    <row r="21" spans="2:14">
      <c r="B21" s="2" t="s">
        <v>295</v>
      </c>
      <c r="D21" s="27">
        <f>CoP!E37</f>
        <v>4.5</v>
      </c>
      <c r="E21" s="27">
        <f>CoP!F37</f>
        <v>19.8</v>
      </c>
      <c r="F21" s="27">
        <f>CoP!G37</f>
        <v>21.78</v>
      </c>
      <c r="G21" s="27">
        <f>CoP!H37</f>
        <v>23.958000000000002</v>
      </c>
      <c r="H21" s="27">
        <f>CoP!I37</f>
        <v>26.353800000000003</v>
      </c>
      <c r="I21" s="27">
        <f>CoP!J37</f>
        <v>28.989180000000005</v>
      </c>
      <c r="J21" s="27">
        <f>CoP!K37</f>
        <v>31.888098000000006</v>
      </c>
      <c r="K21" s="27">
        <f>CoP!L37</f>
        <v>35.076907800000008</v>
      </c>
      <c r="L21" s="27">
        <f>CoP!M37</f>
        <v>38.584598580000012</v>
      </c>
      <c r="M21" s="27">
        <f>CoP!N37</f>
        <v>42.443058438000016</v>
      </c>
      <c r="N21" s="27"/>
    </row>
    <row r="22" spans="2:14">
      <c r="B22" s="2" t="s">
        <v>443</v>
      </c>
      <c r="D22" s="27"/>
      <c r="E22" s="27"/>
      <c r="F22" s="27"/>
      <c r="G22" s="27"/>
      <c r="H22" s="27"/>
      <c r="I22" s="27"/>
      <c r="J22" s="27"/>
      <c r="K22" s="27"/>
      <c r="L22" s="27"/>
      <c r="M22" s="27"/>
      <c r="N22" s="27"/>
    </row>
    <row r="23" spans="2:14">
      <c r="B23" s="121" t="s">
        <v>352</v>
      </c>
      <c r="C23" s="121"/>
      <c r="D23" s="145">
        <f>SUM(D14:D22)</f>
        <v>189.70500000000001</v>
      </c>
      <c r="E23" s="145">
        <f t="shared" ref="E23:M23" si="1">SUM(E14:E22)</f>
        <v>879.6239999999998</v>
      </c>
      <c r="F23" s="145">
        <f t="shared" si="1"/>
        <v>1117.7936999999999</v>
      </c>
      <c r="G23" s="145">
        <f t="shared" si="1"/>
        <v>1356.2618850000006</v>
      </c>
      <c r="H23" s="145">
        <f t="shared" si="1"/>
        <v>1595.0533792500005</v>
      </c>
      <c r="I23" s="145">
        <f t="shared" si="1"/>
        <v>1834.1952382125003</v>
      </c>
      <c r="J23" s="145">
        <f t="shared" si="1"/>
        <v>1839.5369591231251</v>
      </c>
      <c r="K23" s="145">
        <f t="shared" si="1"/>
        <v>1845.2907119792815</v>
      </c>
      <c r="L23" s="145">
        <f t="shared" si="1"/>
        <v>1851.4915929682454</v>
      </c>
      <c r="M23" s="145">
        <f t="shared" si="1"/>
        <v>1858.1779025456576</v>
      </c>
      <c r="N23" s="27"/>
    </row>
    <row r="24" spans="2:14">
      <c r="B24" s="67" t="s">
        <v>354</v>
      </c>
      <c r="C24" s="67"/>
      <c r="D24" s="178">
        <f>CoP!E41</f>
        <v>0</v>
      </c>
      <c r="E24" s="178">
        <f>CoP!F41</f>
        <v>25.294</v>
      </c>
      <c r="F24" s="178">
        <f>CoP!G41</f>
        <v>29.320799999999998</v>
      </c>
      <c r="G24" s="178">
        <f>CoP!H41</f>
        <v>37.259790000000002</v>
      </c>
      <c r="H24" s="178">
        <f>CoP!I41</f>
        <v>45.208729500000025</v>
      </c>
      <c r="I24" s="178">
        <f>CoP!J41</f>
        <v>53.168445975000026</v>
      </c>
      <c r="J24" s="178">
        <f>CoP!K41</f>
        <v>61.139841273750008</v>
      </c>
      <c r="K24" s="178">
        <f>CoP!L41</f>
        <v>61.317898637437509</v>
      </c>
      <c r="L24" s="178">
        <f>CoP!M41</f>
        <v>61.509690399309399</v>
      </c>
      <c r="M24" s="178">
        <f>CoP!N41</f>
        <v>61.716386432274852</v>
      </c>
    </row>
    <row r="25" spans="2:14">
      <c r="B25" s="67" t="s">
        <v>355</v>
      </c>
      <c r="C25" s="67"/>
      <c r="D25" s="178">
        <f>CoP!E42</f>
        <v>25.294</v>
      </c>
      <c r="E25" s="178">
        <f>CoP!F42</f>
        <v>29.320799999999998</v>
      </c>
      <c r="F25" s="178">
        <f>CoP!G42</f>
        <v>37.259790000000002</v>
      </c>
      <c r="G25" s="178">
        <f>CoP!H42</f>
        <v>45.208729500000025</v>
      </c>
      <c r="H25" s="178">
        <f>CoP!I42</f>
        <v>53.168445975000026</v>
      </c>
      <c r="I25" s="178">
        <f>CoP!J42</f>
        <v>61.139841273750008</v>
      </c>
      <c r="J25" s="178">
        <f>CoP!K42</f>
        <v>61.317898637437509</v>
      </c>
      <c r="K25" s="178">
        <f>CoP!L42</f>
        <v>61.509690399309399</v>
      </c>
      <c r="L25" s="178">
        <f>CoP!M42</f>
        <v>61.716386432274852</v>
      </c>
      <c r="M25" s="178">
        <f>CoP!N42</f>
        <v>61.939263418188595</v>
      </c>
    </row>
    <row r="26" spans="2:14">
      <c r="B26" s="121" t="s">
        <v>90</v>
      </c>
      <c r="C26" s="121"/>
      <c r="D26" s="145">
        <f>D23+D24-D25</f>
        <v>164.411</v>
      </c>
      <c r="E26" s="145">
        <f t="shared" ref="E26:M26" si="2">E23+E24-E25</f>
        <v>875.59719999999982</v>
      </c>
      <c r="F26" s="145">
        <f t="shared" si="2"/>
        <v>1109.8547099999998</v>
      </c>
      <c r="G26" s="145">
        <f t="shared" si="2"/>
        <v>1348.3129455000005</v>
      </c>
      <c r="H26" s="145">
        <f t="shared" si="2"/>
        <v>1587.0936627750007</v>
      </c>
      <c r="I26" s="145">
        <f t="shared" si="2"/>
        <v>1826.2238429137501</v>
      </c>
      <c r="J26" s="145">
        <f t="shared" si="2"/>
        <v>1839.3589017594377</v>
      </c>
      <c r="K26" s="145">
        <f t="shared" si="2"/>
        <v>1845.0989202174096</v>
      </c>
      <c r="L26" s="145">
        <f t="shared" si="2"/>
        <v>1851.2848969352799</v>
      </c>
      <c r="M26" s="145">
        <f t="shared" si="2"/>
        <v>1857.9550255597439</v>
      </c>
    </row>
    <row r="27" spans="2:14">
      <c r="B27" s="2" t="s">
        <v>48</v>
      </c>
      <c r="D27" s="27">
        <f>CoP!E53</f>
        <v>4.8267575999999996</v>
      </c>
      <c r="E27" s="27">
        <f>CoP!F53</f>
        <v>29.541493799999998</v>
      </c>
      <c r="F27" s="27">
        <f>CoP!G53</f>
        <v>37.796295600000001</v>
      </c>
      <c r="G27" s="27">
        <f>CoP!H53</f>
        <v>46.310972400000011</v>
      </c>
      <c r="H27" s="27">
        <f>CoP!I53</f>
        <v>54.825649199999994</v>
      </c>
      <c r="I27" s="27">
        <f>CoP!J53</f>
        <v>63.340325999999997</v>
      </c>
      <c r="J27" s="27">
        <f>CoP!K53</f>
        <v>63.860075999999992</v>
      </c>
      <c r="K27" s="27">
        <f>CoP!L53</f>
        <v>63.860075999999992</v>
      </c>
      <c r="L27" s="27">
        <f>CoP!M53</f>
        <v>63.860075999999992</v>
      </c>
      <c r="M27" s="27">
        <f>CoP!N53</f>
        <v>63.860075999999992</v>
      </c>
    </row>
    <row r="28" spans="2:14">
      <c r="B28" s="67" t="s">
        <v>357</v>
      </c>
      <c r="C28" s="67"/>
      <c r="D28" s="178">
        <f>CoP!E49</f>
        <v>0</v>
      </c>
      <c r="E28" s="178">
        <f>CoP!F49</f>
        <v>15.80875</v>
      </c>
      <c r="F28" s="178">
        <f>CoP!G49</f>
        <v>18.325499999999998</v>
      </c>
      <c r="G28" s="178">
        <f>CoP!H49</f>
        <v>23.287368749999999</v>
      </c>
      <c r="H28" s="178">
        <f>CoP!I49</f>
        <v>28.255455937500013</v>
      </c>
      <c r="I28" s="178">
        <f>CoP!J49</f>
        <v>33.230278734375013</v>
      </c>
      <c r="J28" s="178">
        <f>CoP!K49</f>
        <v>38.212400796093753</v>
      </c>
      <c r="K28" s="178">
        <f>CoP!L49</f>
        <v>38.323686648398443</v>
      </c>
      <c r="L28" s="178">
        <f>CoP!M49</f>
        <v>38.443556499568373</v>
      </c>
      <c r="M28" s="178">
        <f>CoP!N49</f>
        <v>38.572741520171782</v>
      </c>
    </row>
    <row r="29" spans="2:14">
      <c r="B29" s="67" t="s">
        <v>358</v>
      </c>
      <c r="C29" s="67"/>
      <c r="D29" s="178">
        <f>CoP!E50</f>
        <v>15.80875</v>
      </c>
      <c r="E29" s="178">
        <f>CoP!F50</f>
        <v>18.325499999999998</v>
      </c>
      <c r="F29" s="178">
        <f>CoP!G50</f>
        <v>23.287368749999999</v>
      </c>
      <c r="G29" s="178">
        <f>CoP!H50</f>
        <v>28.255455937500013</v>
      </c>
      <c r="H29" s="178">
        <f>CoP!I50</f>
        <v>33.230278734375013</v>
      </c>
      <c r="I29" s="178">
        <f>CoP!J50</f>
        <v>38.212400796093753</v>
      </c>
      <c r="J29" s="178">
        <f>CoP!K50</f>
        <v>38.323686648398443</v>
      </c>
      <c r="K29" s="178">
        <f>CoP!L50</f>
        <v>38.443556499568373</v>
      </c>
      <c r="L29" s="178">
        <f>CoP!M50</f>
        <v>38.572741520171782</v>
      </c>
      <c r="M29" s="178">
        <f>CoP!N50</f>
        <v>38.712039636367869</v>
      </c>
      <c r="N29" s="27"/>
    </row>
    <row r="30" spans="2:14">
      <c r="B30" s="121" t="s">
        <v>105</v>
      </c>
      <c r="C30" s="121"/>
      <c r="D30" s="145">
        <f>D26+D27+D28-D29</f>
        <v>153.42900760000001</v>
      </c>
      <c r="E30" s="145">
        <f t="shared" ref="E30:M30" si="3">E26+E27+E28-E29</f>
        <v>902.62194379999983</v>
      </c>
      <c r="F30" s="145">
        <f t="shared" si="3"/>
        <v>1142.6891368499996</v>
      </c>
      <c r="G30" s="145">
        <f t="shared" si="3"/>
        <v>1389.6558307125006</v>
      </c>
      <c r="H30" s="145">
        <f t="shared" si="3"/>
        <v>1636.9444891781259</v>
      </c>
      <c r="I30" s="145">
        <f t="shared" si="3"/>
        <v>1884.5820468520312</v>
      </c>
      <c r="J30" s="145">
        <f t="shared" si="3"/>
        <v>1903.1076919071329</v>
      </c>
      <c r="K30" s="145">
        <f t="shared" si="3"/>
        <v>1908.8391263662397</v>
      </c>
      <c r="L30" s="145">
        <f t="shared" si="3"/>
        <v>1915.0157879146764</v>
      </c>
      <c r="M30" s="145">
        <f t="shared" si="3"/>
        <v>1921.6758034435479</v>
      </c>
    </row>
    <row r="31" spans="2:14">
      <c r="B31" s="121" t="s">
        <v>50</v>
      </c>
      <c r="C31" s="121"/>
      <c r="D31" s="145">
        <f>D10-D30</f>
        <v>7.4629123999999933</v>
      </c>
      <c r="E31" s="145">
        <f t="shared" ref="E31:M31" si="4">E10-E30</f>
        <v>82.094516200000157</v>
      </c>
      <c r="F31" s="145">
        <f t="shared" si="4"/>
        <v>117.18738315000041</v>
      </c>
      <c r="G31" s="145">
        <f t="shared" si="4"/>
        <v>154.04324928749975</v>
      </c>
      <c r="H31" s="145">
        <f t="shared" si="4"/>
        <v>190.57715082187406</v>
      </c>
      <c r="I31" s="145">
        <f t="shared" si="4"/>
        <v>226.76215314796877</v>
      </c>
      <c r="J31" s="145">
        <f t="shared" si="4"/>
        <v>225.56150809286692</v>
      </c>
      <c r="K31" s="145">
        <f t="shared" si="4"/>
        <v>219.83007363376009</v>
      </c>
      <c r="L31" s="145">
        <f t="shared" si="4"/>
        <v>213.65341208532345</v>
      </c>
      <c r="M31" s="145">
        <f t="shared" si="4"/>
        <v>206.9933965564519</v>
      </c>
    </row>
    <row r="32" spans="2:14">
      <c r="B32" s="67" t="s">
        <v>106</v>
      </c>
      <c r="C32" s="67"/>
      <c r="D32" s="179">
        <f>D31/D10</f>
        <v>4.6384631372414435E-2</v>
      </c>
      <c r="E32" s="179">
        <f t="shared" ref="E32:M32" si="5">E31/E10</f>
        <v>8.3368684829336723E-2</v>
      </c>
      <c r="F32" s="179">
        <f t="shared" si="5"/>
        <v>9.3014975110418285E-2</v>
      </c>
      <c r="G32" s="179">
        <f t="shared" si="5"/>
        <v>9.9788392234773968E-2</v>
      </c>
      <c r="H32" s="179">
        <f t="shared" si="5"/>
        <v>0.10428174783302378</v>
      </c>
      <c r="I32" s="179">
        <f t="shared" si="5"/>
        <v>0.10740179320262834</v>
      </c>
      <c r="J32" s="179">
        <f t="shared" si="5"/>
        <v>0.10596362651973681</v>
      </c>
      <c r="K32" s="179">
        <f t="shared" si="5"/>
        <v>0.10327112997818548</v>
      </c>
      <c r="L32" s="179">
        <f t="shared" si="5"/>
        <v>0.10036947595489401</v>
      </c>
      <c r="M32" s="179">
        <f t="shared" si="5"/>
        <v>9.7240753310308584E-2</v>
      </c>
    </row>
    <row r="33" spans="2:13">
      <c r="B33" s="2" t="s">
        <v>49</v>
      </c>
      <c r="D33" s="27">
        <f>Depreciation!E193</f>
        <v>2.4055545342718996</v>
      </c>
      <c r="E33" s="27">
        <f>Depreciation!F193</f>
        <v>9.6222181370875983</v>
      </c>
      <c r="F33" s="27">
        <f>Depreciation!G193</f>
        <v>9.6222181370875983</v>
      </c>
      <c r="G33" s="27">
        <f>Depreciation!H193</f>
        <v>9.6222181370875983</v>
      </c>
      <c r="H33" s="27">
        <f>Depreciation!I193</f>
        <v>9.6222181370875983</v>
      </c>
      <c r="I33" s="27">
        <f>Depreciation!J193</f>
        <v>9.6222181370875983</v>
      </c>
      <c r="J33" s="27">
        <f>Depreciation!K193</f>
        <v>9.6222181370875983</v>
      </c>
      <c r="K33" s="27">
        <f>Depreciation!L193</f>
        <v>9.4690032245449363</v>
      </c>
      <c r="L33" s="27">
        <f>Depreciation!M193</f>
        <v>9.4579796359499415</v>
      </c>
      <c r="M33" s="27">
        <f>Depreciation!N193</f>
        <v>9.4579796359499415</v>
      </c>
    </row>
    <row r="34" spans="2:13">
      <c r="B34" s="121" t="s">
        <v>107</v>
      </c>
      <c r="C34" s="121"/>
      <c r="D34" s="145">
        <f>D31-D33</f>
        <v>5.0573578657280933</v>
      </c>
      <c r="E34" s="145">
        <f t="shared" ref="E34:M34" si="6">E31-E33</f>
        <v>72.472298062912557</v>
      </c>
      <c r="F34" s="145">
        <f t="shared" si="6"/>
        <v>107.56516501291281</v>
      </c>
      <c r="G34" s="145">
        <f t="shared" si="6"/>
        <v>144.42103115041215</v>
      </c>
      <c r="H34" s="145">
        <f t="shared" si="6"/>
        <v>180.95493268478646</v>
      </c>
      <c r="I34" s="145">
        <f t="shared" si="6"/>
        <v>217.13993501088117</v>
      </c>
      <c r="J34" s="145">
        <f t="shared" si="6"/>
        <v>215.93928995577932</v>
      </c>
      <c r="K34" s="145">
        <f t="shared" si="6"/>
        <v>210.36107040921516</v>
      </c>
      <c r="L34" s="145">
        <f t="shared" si="6"/>
        <v>204.1954324493735</v>
      </c>
      <c r="M34" s="145">
        <f t="shared" si="6"/>
        <v>197.53541692050194</v>
      </c>
    </row>
    <row r="35" spans="2:13">
      <c r="B35" s="2" t="s">
        <v>377</v>
      </c>
      <c r="D35" s="27"/>
      <c r="E35" s="27"/>
      <c r="F35" s="27"/>
      <c r="G35" s="27"/>
      <c r="H35" s="27"/>
      <c r="I35" s="27"/>
      <c r="J35" s="27"/>
      <c r="K35" s="27"/>
      <c r="L35" s="27"/>
      <c r="M35" s="27"/>
    </row>
    <row r="36" spans="2:13">
      <c r="B36" s="180" t="s">
        <v>109</v>
      </c>
      <c r="C36" s="67"/>
      <c r="D36" s="178">
        <f>'Capex, Debt'!E115</f>
        <v>2.875</v>
      </c>
      <c r="E36" s="178">
        <f>'Capex, Debt'!F115</f>
        <v>11.095703124999998</v>
      </c>
      <c r="F36" s="178">
        <f>'Capex, Debt'!G115</f>
        <v>9.7031249999999947</v>
      </c>
      <c r="G36" s="178">
        <f>'Capex, Debt'!H115</f>
        <v>8.2656249999999876</v>
      </c>
      <c r="H36" s="178">
        <f>'Capex, Debt'!I115</f>
        <v>6.8281249999999822</v>
      </c>
      <c r="I36" s="178">
        <f>'Capex, Debt'!J115</f>
        <v>5.3906249999999813</v>
      </c>
      <c r="J36" s="178">
        <f>'Capex, Debt'!K115</f>
        <v>3.9531249999999845</v>
      </c>
      <c r="K36" s="178">
        <f>'Capex, Debt'!L115</f>
        <v>2.5156249999999867</v>
      </c>
      <c r="L36" s="178">
        <f>'Capex, Debt'!M115</f>
        <v>1.0781249999999853</v>
      </c>
      <c r="M36" s="178">
        <f>'Capex, Debt'!N115</f>
        <v>4.4921874999985595E-2</v>
      </c>
    </row>
    <row r="37" spans="2:13">
      <c r="B37" s="180" t="s">
        <v>110</v>
      </c>
      <c r="C37" s="67"/>
      <c r="D37" s="178">
        <f>WC!E22</f>
        <v>1.9642805475000005</v>
      </c>
      <c r="E37" s="178">
        <f>WC!F22</f>
        <v>12.710157907500001</v>
      </c>
      <c r="F37" s="178">
        <f>WC!G22</f>
        <v>16.205024171249999</v>
      </c>
      <c r="G37" s="178">
        <f>WC!H22</f>
        <v>19.817554592812503</v>
      </c>
      <c r="H37" s="178">
        <f>WC!I22</f>
        <v>23.43139845820312</v>
      </c>
      <c r="I37" s="178">
        <f>WC!J22</f>
        <v>27.046665680238277</v>
      </c>
      <c r="J37" s="178">
        <f>WC!K22</f>
        <v>27.301269546437698</v>
      </c>
      <c r="K37" s="178">
        <f>WC!L22</f>
        <v>27.324644167415833</v>
      </c>
      <c r="L37" s="178">
        <f>WC!M22</f>
        <v>27.3498352464335</v>
      </c>
      <c r="M37" s="178">
        <f>WC!N22</f>
        <v>27.376998379091738</v>
      </c>
    </row>
    <row r="38" spans="2:13">
      <c r="B38" s="2" t="s">
        <v>52</v>
      </c>
      <c r="D38" s="27">
        <f>WC!E23</f>
        <v>1.5714244380000002</v>
      </c>
      <c r="E38" s="27">
        <f>WC!F23</f>
        <v>2.5420315814999999</v>
      </c>
      <c r="F38" s="27">
        <f>WC!G23</f>
        <v>3.24100483425</v>
      </c>
      <c r="G38" s="27">
        <f>WC!H23</f>
        <v>3.9635109185625006</v>
      </c>
      <c r="H38" s="27">
        <f>WC!I23</f>
        <v>4.6862796916406237</v>
      </c>
      <c r="I38" s="27">
        <f>WC!J23</f>
        <v>5.409333136047656</v>
      </c>
      <c r="J38" s="27">
        <f>WC!K23</f>
        <v>5.4602539092875393</v>
      </c>
      <c r="K38" s="27">
        <f>WC!L23</f>
        <v>5.4649288334831656</v>
      </c>
      <c r="L38" s="27">
        <f>WC!M23</f>
        <v>5.4699670492866996</v>
      </c>
      <c r="M38" s="27">
        <f>WC!N23</f>
        <v>5.4753996758183474</v>
      </c>
    </row>
    <row r="39" spans="2:13">
      <c r="B39" s="121" t="s">
        <v>53</v>
      </c>
      <c r="C39" s="121"/>
      <c r="D39" s="145">
        <f>D34-SUM(D36:D38)</f>
        <v>-1.3533471197719074</v>
      </c>
      <c r="E39" s="145">
        <f t="shared" ref="E39:M39" si="7">E34-SUM(E36:E38)</f>
        <v>46.124405448912562</v>
      </c>
      <c r="F39" s="145">
        <f t="shared" si="7"/>
        <v>78.41601100741282</v>
      </c>
      <c r="G39" s="145">
        <f t="shared" si="7"/>
        <v>112.37434063903716</v>
      </c>
      <c r="H39" s="145">
        <f t="shared" si="7"/>
        <v>146.00912953494273</v>
      </c>
      <c r="I39" s="145">
        <f t="shared" si="7"/>
        <v>179.29331119459528</v>
      </c>
      <c r="J39" s="145">
        <f t="shared" si="7"/>
        <v>179.22464150005408</v>
      </c>
      <c r="K39" s="145">
        <f t="shared" si="7"/>
        <v>175.05587240831619</v>
      </c>
      <c r="L39" s="145">
        <f t="shared" si="7"/>
        <v>170.2975051536533</v>
      </c>
      <c r="M39" s="145">
        <f t="shared" si="7"/>
        <v>164.63809699059186</v>
      </c>
    </row>
    <row r="40" spans="2:13">
      <c r="B40" s="2" t="s">
        <v>112</v>
      </c>
      <c r="L40" s="140"/>
      <c r="M40" s="140"/>
    </row>
    <row r="41" spans="2:13">
      <c r="B41" s="67" t="s">
        <v>54</v>
      </c>
      <c r="D41" s="27">
        <f>D63</f>
        <v>0</v>
      </c>
      <c r="E41" s="27">
        <f t="shared" ref="E41:M41" si="8">E63</f>
        <v>6.5522221629180528</v>
      </c>
      <c r="F41" s="27">
        <f t="shared" si="8"/>
        <v>17.942273780799471</v>
      </c>
      <c r="G41" s="27">
        <f t="shared" si="8"/>
        <v>27.138692543906394</v>
      </c>
      <c r="H41" s="27">
        <f t="shared" si="8"/>
        <v>36.144593404558286</v>
      </c>
      <c r="I41" s="27">
        <f t="shared" si="8"/>
        <v>44.976612000414946</v>
      </c>
      <c r="J41" s="27">
        <f t="shared" si="8"/>
        <v>45.34441232786218</v>
      </c>
      <c r="K41" s="27">
        <f t="shared" si="8"/>
        <v>44.583380751794543</v>
      </c>
      <c r="L41" s="27">
        <f t="shared" si="8"/>
        <v>43.660580280415239</v>
      </c>
      <c r="M41" s="27">
        <f t="shared" si="8"/>
        <v>42.472156822335222</v>
      </c>
    </row>
    <row r="42" spans="2:13">
      <c r="B42" s="67" t="s">
        <v>55</v>
      </c>
      <c r="D42" s="27">
        <f>D61-D63</f>
        <v>0</v>
      </c>
      <c r="E42" s="27">
        <f t="shared" ref="E42:M42" si="9">E61-E63</f>
        <v>5.0563682004642612</v>
      </c>
      <c r="F42" s="27">
        <f t="shared" si="9"/>
        <v>1.7934678695461876</v>
      </c>
      <c r="G42" s="27">
        <f t="shared" si="9"/>
        <v>1.1436815081264804</v>
      </c>
      <c r="H42" s="27">
        <f t="shared" si="9"/>
        <v>0.60298431679610331</v>
      </c>
      <c r="I42" s="27">
        <f t="shared" si="9"/>
        <v>0.14792856104079277</v>
      </c>
      <c r="J42" s="27">
        <f t="shared" si="9"/>
        <v>-0.2371545551285692</v>
      </c>
      <c r="K42" s="27">
        <f t="shared" si="9"/>
        <v>-0.52531878406951904</v>
      </c>
      <c r="L42" s="27">
        <f t="shared" si="9"/>
        <v>-0.80010418334376965</v>
      </c>
      <c r="M42" s="27">
        <f t="shared" si="9"/>
        <v>-1.0360405717430581</v>
      </c>
    </row>
    <row r="43" spans="2:13">
      <c r="B43" s="193" t="s">
        <v>56</v>
      </c>
      <c r="C43" s="193"/>
      <c r="D43" s="195">
        <f>D39-D41-D42</f>
        <v>-1.3533471197719074</v>
      </c>
      <c r="E43" s="195">
        <f t="shared" ref="E43:M43" si="10">E39-E41-E42</f>
        <v>34.515815085530249</v>
      </c>
      <c r="F43" s="195">
        <f t="shared" si="10"/>
        <v>58.680269357067161</v>
      </c>
      <c r="G43" s="195">
        <f t="shared" si="10"/>
        <v>84.091966587004279</v>
      </c>
      <c r="H43" s="195">
        <f t="shared" si="10"/>
        <v>109.26155181358834</v>
      </c>
      <c r="I43" s="195">
        <f t="shared" si="10"/>
        <v>134.16877063313953</v>
      </c>
      <c r="J43" s="195">
        <f t="shared" si="10"/>
        <v>134.11738372732046</v>
      </c>
      <c r="K43" s="195">
        <f t="shared" si="10"/>
        <v>130.99781044059117</v>
      </c>
      <c r="L43" s="195">
        <f t="shared" si="10"/>
        <v>127.43702905658182</v>
      </c>
      <c r="M43" s="195">
        <f t="shared" si="10"/>
        <v>123.2019807399997</v>
      </c>
    </row>
    <row r="44" spans="2:13">
      <c r="B44" s="67" t="s">
        <v>113</v>
      </c>
      <c r="D44" s="140"/>
      <c r="E44" s="140"/>
      <c r="F44" s="140"/>
      <c r="G44" s="140"/>
      <c r="H44" s="140"/>
      <c r="I44" s="140"/>
      <c r="J44" s="140"/>
      <c r="K44" s="140"/>
      <c r="L44" s="140"/>
      <c r="M44" s="140"/>
    </row>
    <row r="46" spans="2:13">
      <c r="B46" s="2" t="s">
        <v>114</v>
      </c>
      <c r="D46" s="27">
        <f t="shared" ref="D46:M46" si="11">D43+D33+D42</f>
        <v>1.0522074144999922</v>
      </c>
      <c r="E46" s="27">
        <f t="shared" si="11"/>
        <v>49.194401423082113</v>
      </c>
      <c r="F46" s="27">
        <f t="shared" si="11"/>
        <v>70.095955363700952</v>
      </c>
      <c r="G46" s="27">
        <f t="shared" si="11"/>
        <v>94.857866232218356</v>
      </c>
      <c r="H46" s="27">
        <f t="shared" si="11"/>
        <v>119.48675426747204</v>
      </c>
      <c r="I46" s="27">
        <f t="shared" si="11"/>
        <v>143.93891733126793</v>
      </c>
      <c r="J46" s="27">
        <f t="shared" si="11"/>
        <v>143.50244730927949</v>
      </c>
      <c r="K46" s="27">
        <f t="shared" si="11"/>
        <v>139.94149488106657</v>
      </c>
      <c r="L46" s="27">
        <f t="shared" si="11"/>
        <v>136.09490450918801</v>
      </c>
      <c r="M46" s="27">
        <f t="shared" si="11"/>
        <v>131.62391980420659</v>
      </c>
    </row>
    <row r="48" spans="2:13">
      <c r="B48" s="37" t="s">
        <v>115</v>
      </c>
      <c r="C48" s="93"/>
      <c r="D48" s="93">
        <f t="shared" ref="D48:M48" si="12">D4</f>
        <v>44286</v>
      </c>
      <c r="E48" s="93">
        <f t="shared" si="12"/>
        <v>44651</v>
      </c>
      <c r="F48" s="93">
        <f t="shared" si="12"/>
        <v>45016</v>
      </c>
      <c r="G48" s="93">
        <f t="shared" si="12"/>
        <v>45382</v>
      </c>
      <c r="H48" s="93">
        <f t="shared" si="12"/>
        <v>45747</v>
      </c>
      <c r="I48" s="93">
        <f t="shared" si="12"/>
        <v>46112</v>
      </c>
      <c r="J48" s="93">
        <f t="shared" si="12"/>
        <v>46477</v>
      </c>
      <c r="K48" s="93">
        <f t="shared" si="12"/>
        <v>46843</v>
      </c>
      <c r="L48" s="93">
        <f t="shared" si="12"/>
        <v>47208</v>
      </c>
      <c r="M48" s="93">
        <f t="shared" si="12"/>
        <v>47573</v>
      </c>
    </row>
    <row r="50" spans="2:13">
      <c r="B50" s="2" t="s">
        <v>53</v>
      </c>
      <c r="D50" s="27">
        <f>D39</f>
        <v>-1.3533471197719074</v>
      </c>
      <c r="E50" s="27">
        <f t="shared" ref="E50:M50" si="13">E39</f>
        <v>46.124405448912562</v>
      </c>
      <c r="F50" s="27">
        <f t="shared" si="13"/>
        <v>78.41601100741282</v>
      </c>
      <c r="G50" s="27">
        <f t="shared" si="13"/>
        <v>112.37434063903716</v>
      </c>
      <c r="H50" s="27">
        <f t="shared" si="13"/>
        <v>146.00912953494273</v>
      </c>
      <c r="I50" s="27">
        <f t="shared" si="13"/>
        <v>179.29331119459528</v>
      </c>
      <c r="J50" s="27">
        <f t="shared" si="13"/>
        <v>179.22464150005408</v>
      </c>
      <c r="K50" s="27">
        <f t="shared" si="13"/>
        <v>175.05587240831619</v>
      </c>
      <c r="L50" s="27">
        <f t="shared" si="13"/>
        <v>170.2975051536533</v>
      </c>
      <c r="M50" s="27">
        <f t="shared" si="13"/>
        <v>164.63809699059186</v>
      </c>
    </row>
    <row r="52" spans="2:13">
      <c r="B52" s="2" t="s">
        <v>116</v>
      </c>
      <c r="D52" s="27">
        <f>Depreciation!E193</f>
        <v>2.4055545342718996</v>
      </c>
      <c r="E52" s="27">
        <f>Depreciation!F193</f>
        <v>9.6222181370875983</v>
      </c>
      <c r="F52" s="27">
        <f>Depreciation!G193</f>
        <v>9.6222181370875983</v>
      </c>
      <c r="G52" s="27">
        <f>Depreciation!H193</f>
        <v>9.6222181370875983</v>
      </c>
      <c r="H52" s="27">
        <f>Depreciation!I193</f>
        <v>9.6222181370875983</v>
      </c>
      <c r="I52" s="27">
        <f>Depreciation!J193</f>
        <v>9.6222181370875983</v>
      </c>
      <c r="J52" s="27">
        <f>Depreciation!K193</f>
        <v>9.6222181370875983</v>
      </c>
      <c r="K52" s="27">
        <f>Depreciation!L193</f>
        <v>9.4690032245449363</v>
      </c>
      <c r="L52" s="27">
        <f>Depreciation!M193</f>
        <v>9.4579796359499415</v>
      </c>
      <c r="M52" s="27">
        <f>Depreciation!N193</f>
        <v>9.4579796359499415</v>
      </c>
    </row>
    <row r="53" spans="2:13">
      <c r="B53" s="2" t="s">
        <v>117</v>
      </c>
      <c r="D53" s="27">
        <f>Depreciation!E194</f>
        <v>10.842023606370876</v>
      </c>
      <c r="E53" s="27">
        <f>Depreciation!F194</f>
        <v>19.922866823094424</v>
      </c>
      <c r="F53" s="27">
        <f>Depreciation!G194</f>
        <v>16.748202997013653</v>
      </c>
      <c r="G53" s="27">
        <f>Depreciation!H194</f>
        <v>14.166407218963311</v>
      </c>
      <c r="H53" s="27">
        <f>Depreciation!I194</f>
        <v>12.018055378013013</v>
      </c>
      <c r="I53" s="27">
        <f>Depreciation!J194</f>
        <v>10.209982604032904</v>
      </c>
      <c r="J53" s="27">
        <f>Depreciation!K194</f>
        <v>8.6799320788844518</v>
      </c>
      <c r="K53" s="27">
        <f>Depreciation!L194</f>
        <v>7.3817544003653515</v>
      </c>
      <c r="L53" s="27">
        <f>Depreciation!M194</f>
        <v>6.2789261420538516</v>
      </c>
      <c r="M53" s="27">
        <f>Depreciation!N194</f>
        <v>5.3414802250191817</v>
      </c>
    </row>
    <row r="55" spans="2:13">
      <c r="B55" s="81" t="s">
        <v>118</v>
      </c>
      <c r="C55" s="81"/>
      <c r="D55" s="176">
        <f>D50+D52-D53</f>
        <v>-9.7898161918708837</v>
      </c>
      <c r="E55" s="176">
        <f t="shared" ref="E55:M55" si="14">E50+E52-E53</f>
        <v>35.823756762905738</v>
      </c>
      <c r="F55" s="176">
        <f t="shared" si="14"/>
        <v>71.29002614748677</v>
      </c>
      <c r="G55" s="176">
        <f t="shared" si="14"/>
        <v>107.83015155716144</v>
      </c>
      <c r="H55" s="176">
        <f t="shared" si="14"/>
        <v>143.61329229401733</v>
      </c>
      <c r="I55" s="176">
        <f t="shared" si="14"/>
        <v>178.70554672764996</v>
      </c>
      <c r="J55" s="176">
        <f t="shared" si="14"/>
        <v>180.16692755825721</v>
      </c>
      <c r="K55" s="176">
        <f t="shared" si="14"/>
        <v>177.14312123249579</v>
      </c>
      <c r="L55" s="176">
        <f t="shared" si="14"/>
        <v>173.47655864754941</v>
      </c>
      <c r="M55" s="176">
        <f t="shared" si="14"/>
        <v>168.75459640152263</v>
      </c>
    </row>
    <row r="57" spans="2:13">
      <c r="B57" s="2" t="s">
        <v>119</v>
      </c>
      <c r="C57" s="175"/>
      <c r="D57" s="89"/>
      <c r="E57" s="89">
        <f>MIN(D55+D57,0)</f>
        <v>-9.7898161918708837</v>
      </c>
      <c r="F57" s="89">
        <f t="shared" ref="F57:M57" si="15">MIN(E55+E57,0)</f>
        <v>0</v>
      </c>
      <c r="G57" s="89">
        <f t="shared" si="15"/>
        <v>0</v>
      </c>
      <c r="H57" s="89">
        <f t="shared" si="15"/>
        <v>0</v>
      </c>
      <c r="I57" s="89">
        <f t="shared" si="15"/>
        <v>0</v>
      </c>
      <c r="J57" s="89">
        <f t="shared" si="15"/>
        <v>0</v>
      </c>
      <c r="K57" s="89">
        <f t="shared" si="15"/>
        <v>0</v>
      </c>
      <c r="L57" s="89">
        <f t="shared" si="15"/>
        <v>0</v>
      </c>
      <c r="M57" s="89">
        <f t="shared" si="15"/>
        <v>0</v>
      </c>
    </row>
    <row r="58" spans="2:13">
      <c r="M58" s="27"/>
    </row>
    <row r="59" spans="2:13">
      <c r="B59" s="2" t="s">
        <v>483</v>
      </c>
      <c r="D59" s="142">
        <f>MAX(D55+D57,0)</f>
        <v>0</v>
      </c>
      <c r="E59" s="142">
        <f t="shared" ref="E59:M59" si="16">MAX(E55+E57,0)</f>
        <v>26.033940571034854</v>
      </c>
      <c r="F59" s="142">
        <f t="shared" si="16"/>
        <v>71.29002614748677</v>
      </c>
      <c r="G59" s="142">
        <f t="shared" si="16"/>
        <v>107.83015155716144</v>
      </c>
      <c r="H59" s="142">
        <f t="shared" si="16"/>
        <v>143.61329229401733</v>
      </c>
      <c r="I59" s="142">
        <f t="shared" si="16"/>
        <v>178.70554672764996</v>
      </c>
      <c r="J59" s="142">
        <f t="shared" si="16"/>
        <v>180.16692755825721</v>
      </c>
      <c r="K59" s="142">
        <f t="shared" si="16"/>
        <v>177.14312123249579</v>
      </c>
      <c r="L59" s="142">
        <f t="shared" si="16"/>
        <v>173.47655864754941</v>
      </c>
      <c r="M59" s="142">
        <f t="shared" si="16"/>
        <v>168.75459640152263</v>
      </c>
    </row>
    <row r="60" spans="2:13">
      <c r="M60" s="27"/>
    </row>
    <row r="61" spans="2:13">
      <c r="B61" s="2" t="s">
        <v>481</v>
      </c>
      <c r="D61" s="258">
        <f>IF(D50&gt;0,D50*Assumptions!$D$148,0)</f>
        <v>0</v>
      </c>
      <c r="E61" s="258">
        <f>IF(E50&gt;0,E50*Assumptions!$D$148,0)</f>
        <v>11.608590363382314</v>
      </c>
      <c r="F61" s="258">
        <f>IF(F50&gt;0,F50*Assumptions!$D$148,0)</f>
        <v>19.735741650345659</v>
      </c>
      <c r="G61" s="258">
        <f>IF(G50&gt;0,G50*Assumptions!$D$148,0)</f>
        <v>28.282374052032875</v>
      </c>
      <c r="H61" s="258">
        <f>IF(H50&gt;0,H50*Assumptions!$D$148,0)</f>
        <v>36.747577721354389</v>
      </c>
      <c r="I61" s="258">
        <f>IF(I50&gt;0,I50*Assumptions!$D$148,0)</f>
        <v>45.124540561455738</v>
      </c>
      <c r="J61" s="258">
        <f>IF(J50&gt;0,J50*Assumptions!$D$148,0)</f>
        <v>45.107257772733611</v>
      </c>
      <c r="K61" s="258">
        <f>IF(K50&gt;0,K50*Assumptions!$D$148,0)</f>
        <v>44.058061967725024</v>
      </c>
      <c r="L61" s="258">
        <f>IF(L50&gt;0,L50*Assumptions!$D$148,0)</f>
        <v>42.860476097071469</v>
      </c>
      <c r="M61" s="258">
        <f>IF(M50&gt;0,M50*Assumptions!$D$148,0)</f>
        <v>41.436116250592164</v>
      </c>
    </row>
    <row r="62" spans="2:13">
      <c r="B62" s="2" t="s">
        <v>120</v>
      </c>
      <c r="D62" s="89"/>
      <c r="E62" s="89"/>
      <c r="F62" s="89"/>
      <c r="G62" s="89"/>
      <c r="H62" s="89"/>
      <c r="I62" s="89"/>
      <c r="J62" s="89"/>
      <c r="K62" s="89"/>
      <c r="L62" s="89"/>
      <c r="M62" s="89"/>
    </row>
    <row r="63" spans="2:13">
      <c r="B63" s="81" t="s">
        <v>482</v>
      </c>
      <c r="C63" s="81"/>
      <c r="D63" s="267">
        <f>IF(D59&gt;0,D59*Assumptions!$D$148,0)</f>
        <v>0</v>
      </c>
      <c r="E63" s="267">
        <f>IF(E59&gt;0,E59*Assumptions!$D$148,0)</f>
        <v>6.5522221629180528</v>
      </c>
      <c r="F63" s="267">
        <f>IF(F59&gt;0,F59*Assumptions!$D$148,0)</f>
        <v>17.942273780799471</v>
      </c>
      <c r="G63" s="267">
        <f>IF(G59&gt;0,G59*Assumptions!$D$148,0)</f>
        <v>27.138692543906394</v>
      </c>
      <c r="H63" s="267">
        <f>IF(H59&gt;0,H59*Assumptions!$D$148,0)</f>
        <v>36.144593404558286</v>
      </c>
      <c r="I63" s="267">
        <f>IF(I59&gt;0,I59*Assumptions!$D$148,0)</f>
        <v>44.976612000414946</v>
      </c>
      <c r="J63" s="267">
        <f>IF(J59&gt;0,J59*Assumptions!$D$148,0)</f>
        <v>45.34441232786218</v>
      </c>
      <c r="K63" s="267">
        <f>IF(K59&gt;0,K59*Assumptions!$D$148,0)</f>
        <v>44.583380751794543</v>
      </c>
      <c r="L63" s="267">
        <f>IF(L59&gt;0,L59*Assumptions!$D$148,0)</f>
        <v>43.660580280415239</v>
      </c>
      <c r="M63" s="267">
        <f>IF(M59&gt;0,M59*Assumptions!$D$148,0)</f>
        <v>42.472156822335222</v>
      </c>
    </row>
    <row r="64" spans="2:13">
      <c r="D64" s="27">
        <f>D61-D63</f>
        <v>0</v>
      </c>
      <c r="E64" s="27">
        <f t="shared" ref="E64:M64" si="17">E61-E63</f>
        <v>5.0563682004642612</v>
      </c>
      <c r="F64" s="27">
        <f t="shared" si="17"/>
        <v>1.7934678695461876</v>
      </c>
      <c r="G64" s="27">
        <f t="shared" si="17"/>
        <v>1.1436815081264804</v>
      </c>
      <c r="H64" s="27">
        <f t="shared" si="17"/>
        <v>0.60298431679610331</v>
      </c>
      <c r="I64" s="27">
        <f t="shared" si="17"/>
        <v>0.14792856104079277</v>
      </c>
      <c r="J64" s="27">
        <f t="shared" si="17"/>
        <v>-0.2371545551285692</v>
      </c>
      <c r="K64" s="27">
        <f t="shared" si="17"/>
        <v>-0.52531878406951904</v>
      </c>
      <c r="L64" s="27">
        <f t="shared" si="17"/>
        <v>-0.80010418334376965</v>
      </c>
      <c r="M64" s="27">
        <f t="shared" si="17"/>
        <v>-1.0360405717430581</v>
      </c>
    </row>
    <row r="65" spans="2:13">
      <c r="B65" s="2" t="s">
        <v>121</v>
      </c>
    </row>
    <row r="66" spans="2:13">
      <c r="B66" s="2" t="s">
        <v>122</v>
      </c>
      <c r="C66" s="89"/>
      <c r="D66" s="89"/>
      <c r="E66" s="89"/>
      <c r="F66" s="89"/>
      <c r="G66" s="89"/>
      <c r="H66" s="89"/>
      <c r="I66" s="89"/>
      <c r="J66" s="89"/>
      <c r="K66" s="89"/>
      <c r="L66" s="89"/>
      <c r="M66" s="89"/>
    </row>
    <row r="67" spans="2:13">
      <c r="B67" s="2" t="s">
        <v>123</v>
      </c>
      <c r="C67" s="89"/>
      <c r="D67" s="89"/>
      <c r="E67" s="89"/>
      <c r="F67" s="89"/>
      <c r="G67" s="89"/>
      <c r="H67" s="89"/>
      <c r="I67" s="89"/>
      <c r="J67" s="89"/>
      <c r="K67" s="89"/>
      <c r="L67" s="89"/>
      <c r="M67" s="89"/>
    </row>
    <row r="68" spans="2:13">
      <c r="B68" s="2" t="s">
        <v>124</v>
      </c>
      <c r="C68" s="89"/>
      <c r="D68" s="89"/>
      <c r="E68" s="89"/>
      <c r="F68" s="89"/>
      <c r="G68" s="89"/>
      <c r="H68" s="89"/>
      <c r="I68" s="89"/>
      <c r="J68" s="89"/>
      <c r="K68" s="89"/>
      <c r="L68" s="89"/>
      <c r="M68" s="89"/>
    </row>
    <row r="69" spans="2:13">
      <c r="B69" s="2" t="s">
        <v>125</v>
      </c>
      <c r="C69" s="175"/>
      <c r="D69" s="89"/>
      <c r="E69" s="89"/>
      <c r="F69" s="89"/>
      <c r="G69" s="89"/>
      <c r="H69" s="89"/>
      <c r="I69" s="89"/>
      <c r="J69" s="89"/>
      <c r="K69" s="89"/>
      <c r="L69" s="89"/>
      <c r="M69" s="89"/>
    </row>
    <row r="71" spans="2:13">
      <c r="B71" s="120" t="s">
        <v>126</v>
      </c>
    </row>
    <row r="72" spans="2:13">
      <c r="B72" s="2" t="s">
        <v>53</v>
      </c>
      <c r="D72" s="89"/>
      <c r="E72" s="89"/>
      <c r="F72" s="89"/>
      <c r="G72" s="89"/>
      <c r="H72" s="89"/>
      <c r="I72" s="89"/>
      <c r="J72" s="89"/>
      <c r="K72" s="89"/>
      <c r="L72" s="89"/>
      <c r="M72" s="89"/>
    </row>
    <row r="73" spans="2:13">
      <c r="B73" s="2" t="s">
        <v>127</v>
      </c>
      <c r="D73" s="89"/>
      <c r="E73" s="89"/>
      <c r="F73" s="89"/>
      <c r="G73" s="89"/>
      <c r="H73" s="89"/>
      <c r="I73" s="89"/>
      <c r="J73" s="89"/>
      <c r="K73" s="89"/>
      <c r="L73" s="89"/>
      <c r="M73" s="89"/>
    </row>
    <row r="74" spans="2:13">
      <c r="B74" s="2" t="s">
        <v>128</v>
      </c>
      <c r="D74" s="89"/>
      <c r="E74" s="89"/>
      <c r="F74" s="89"/>
      <c r="G74" s="89"/>
      <c r="H74" s="89"/>
      <c r="I74" s="89"/>
      <c r="J74" s="89"/>
      <c r="K74" s="89"/>
      <c r="L74" s="89"/>
      <c r="M74" s="89"/>
    </row>
    <row r="75" spans="2:13">
      <c r="B75" s="2" t="s">
        <v>129</v>
      </c>
      <c r="D75" s="89"/>
      <c r="E75" s="89"/>
      <c r="F75" s="89"/>
      <c r="G75" s="89"/>
      <c r="H75" s="89"/>
      <c r="I75" s="89"/>
      <c r="J75" s="89"/>
      <c r="K75" s="89"/>
      <c r="L75" s="89"/>
      <c r="M75" s="89"/>
    </row>
    <row r="77" spans="2:13">
      <c r="B77" s="2" t="s">
        <v>130</v>
      </c>
      <c r="D77" s="89"/>
      <c r="E77" s="89"/>
      <c r="F77" s="89"/>
      <c r="G77" s="89"/>
      <c r="H77" s="89"/>
      <c r="I77" s="89"/>
      <c r="J77" s="89"/>
      <c r="K77" s="89"/>
      <c r="L77" s="89"/>
      <c r="M77" s="89"/>
    </row>
    <row r="78" spans="2:13">
      <c r="B78" s="2" t="s">
        <v>131</v>
      </c>
      <c r="D78" s="89"/>
      <c r="E78" s="89"/>
      <c r="F78" s="89"/>
      <c r="G78" s="89"/>
      <c r="H78" s="89"/>
      <c r="I78" s="89"/>
      <c r="J78" s="89"/>
      <c r="K78" s="89"/>
      <c r="L78" s="89"/>
      <c r="M78" s="89"/>
    </row>
    <row r="79" spans="2:13">
      <c r="B79" s="44" t="s">
        <v>132</v>
      </c>
      <c r="C79" s="181"/>
      <c r="D79" s="154"/>
      <c r="E79" s="154"/>
      <c r="F79" s="154"/>
      <c r="G79" s="154"/>
      <c r="H79" s="154"/>
      <c r="I79" s="154"/>
      <c r="J79" s="154"/>
      <c r="K79" s="154"/>
      <c r="L79" s="154"/>
      <c r="M79" s="154"/>
    </row>
  </sheetData>
  <pageMargins left="0.7" right="0.7" top="0.75" bottom="0.75" header="0.3" footer="0.3"/>
  <pageSetup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tabColor rgb="FF002060"/>
  </sheetPr>
  <dimension ref="B2:M25"/>
  <sheetViews>
    <sheetView showGridLines="0" zoomScale="180" zoomScaleNormal="180" workbookViewId="0">
      <selection activeCell="D21" sqref="D21"/>
    </sheetView>
  </sheetViews>
  <sheetFormatPr baseColWidth="10" defaultColWidth="9.1640625" defaultRowHeight="13"/>
  <cols>
    <col min="1" max="1" width="3.83203125" style="2" customWidth="1"/>
    <col min="2" max="2" width="51.5" style="2" customWidth="1"/>
    <col min="3" max="13" width="10.6640625" style="2" customWidth="1"/>
    <col min="14" max="16384" width="9.1640625" style="2"/>
  </cols>
  <sheetData>
    <row r="2" spans="2:13">
      <c r="B2" s="37" t="s">
        <v>196</v>
      </c>
    </row>
    <row r="3" spans="2:13">
      <c r="M3" s="120" t="s">
        <v>310</v>
      </c>
    </row>
    <row r="4" spans="2:13">
      <c r="B4" s="37" t="s">
        <v>69</v>
      </c>
      <c r="C4" s="93"/>
      <c r="D4" s="93">
        <f>PL!D4</f>
        <v>44286</v>
      </c>
      <c r="E4" s="93">
        <f>PL!E4</f>
        <v>44651</v>
      </c>
      <c r="F4" s="93">
        <f>PL!F4</f>
        <v>45016</v>
      </c>
      <c r="G4" s="93">
        <f>PL!G4</f>
        <v>45382</v>
      </c>
      <c r="H4" s="93">
        <f>PL!H4</f>
        <v>45747</v>
      </c>
      <c r="I4" s="93">
        <f>PL!I4</f>
        <v>46112</v>
      </c>
      <c r="J4" s="93">
        <f>PL!J4</f>
        <v>46477</v>
      </c>
      <c r="K4" s="93">
        <f>PL!K4</f>
        <v>46843</v>
      </c>
      <c r="L4" s="93">
        <f>PL!L4</f>
        <v>47208</v>
      </c>
      <c r="M4" s="93">
        <f>PL!M4</f>
        <v>47573</v>
      </c>
    </row>
    <row r="5" spans="2:13">
      <c r="B5" s="2" t="s">
        <v>56</v>
      </c>
      <c r="D5" s="27">
        <f>PL!D43</f>
        <v>-1.3533471197719074</v>
      </c>
      <c r="E5" s="27">
        <f>PL!E43</f>
        <v>34.515815085530249</v>
      </c>
      <c r="F5" s="27">
        <f>PL!F43</f>
        <v>58.680269357067161</v>
      </c>
      <c r="G5" s="27">
        <f>PL!G43</f>
        <v>84.091966587004279</v>
      </c>
      <c r="H5" s="27">
        <f>PL!H43</f>
        <v>109.26155181358834</v>
      </c>
      <c r="I5" s="27">
        <f>PL!I43</f>
        <v>134.16877063313953</v>
      </c>
      <c r="J5" s="27">
        <f>PL!J43</f>
        <v>134.11738372732046</v>
      </c>
      <c r="K5" s="27">
        <f>PL!K43</f>
        <v>130.99781044059117</v>
      </c>
      <c r="L5" s="27">
        <f>PL!L43</f>
        <v>127.43702905658182</v>
      </c>
      <c r="M5" s="27">
        <f>PL!M43</f>
        <v>123.2019807399997</v>
      </c>
    </row>
    <row r="6" spans="2:13">
      <c r="B6" s="2" t="s">
        <v>49</v>
      </c>
      <c r="D6" s="27">
        <f>PL!D33</f>
        <v>2.4055545342718996</v>
      </c>
      <c r="E6" s="27">
        <f>PL!E33</f>
        <v>9.6222181370875983</v>
      </c>
      <c r="F6" s="27">
        <f>PL!F33</f>
        <v>9.6222181370875983</v>
      </c>
      <c r="G6" s="27">
        <f>PL!G33</f>
        <v>9.6222181370875983</v>
      </c>
      <c r="H6" s="27">
        <f>PL!H33</f>
        <v>9.6222181370875983</v>
      </c>
      <c r="I6" s="27">
        <f>PL!I33</f>
        <v>9.6222181370875983</v>
      </c>
      <c r="J6" s="27">
        <f>PL!J33</f>
        <v>9.6222181370875983</v>
      </c>
      <c r="K6" s="27">
        <f>PL!K33</f>
        <v>9.4690032245449363</v>
      </c>
      <c r="L6" s="27">
        <f>PL!L33</f>
        <v>9.4579796359499415</v>
      </c>
      <c r="M6" s="27">
        <f>PL!M33</f>
        <v>9.4579796359499415</v>
      </c>
    </row>
    <row r="7" spans="2:13">
      <c r="B7" s="2" t="s">
        <v>157</v>
      </c>
      <c r="D7" s="27">
        <f>PL!D42</f>
        <v>0</v>
      </c>
      <c r="E7" s="27">
        <f>PL!E42</f>
        <v>5.0563682004642612</v>
      </c>
      <c r="F7" s="27">
        <f>PL!F42</f>
        <v>1.7934678695461876</v>
      </c>
      <c r="G7" s="27">
        <f>PL!G42</f>
        <v>1.1436815081264804</v>
      </c>
      <c r="H7" s="27">
        <f>PL!H42</f>
        <v>0.60298431679610331</v>
      </c>
      <c r="I7" s="27">
        <f>PL!I42</f>
        <v>0.14792856104079277</v>
      </c>
      <c r="J7" s="27">
        <f>PL!J42</f>
        <v>-0.2371545551285692</v>
      </c>
      <c r="K7" s="27">
        <f>PL!K42</f>
        <v>-0.52531878406951904</v>
      </c>
      <c r="L7" s="27">
        <f>PL!L42</f>
        <v>-0.80010418334376965</v>
      </c>
      <c r="M7" s="27">
        <f>PL!M42</f>
        <v>-1.0360405717430581</v>
      </c>
    </row>
    <row r="8" spans="2:13">
      <c r="B8" s="268" t="s">
        <v>158</v>
      </c>
      <c r="D8" s="27">
        <f>WC!E16-WC!D16</f>
        <v>45.990000000000009</v>
      </c>
      <c r="E8" s="27">
        <f>WC!F16-WC!E16</f>
        <v>-2.68275000000002</v>
      </c>
      <c r="F8" s="27">
        <f>WC!G16-WC!F16</f>
        <v>12.647250000000007</v>
      </c>
      <c r="G8" s="27">
        <f>WC!H16-WC!G16</f>
        <v>12.264000000000024</v>
      </c>
      <c r="H8" s="27">
        <f>WC!I16-WC!H16</f>
        <v>12.263999999999982</v>
      </c>
      <c r="I8" s="27">
        <f>WC!J16-WC!I16</f>
        <v>12.264000000000024</v>
      </c>
      <c r="J8" s="27">
        <f>WC!K16-WC!J16</f>
        <v>-0.76650000000000773</v>
      </c>
      <c r="K8" s="27">
        <f>WC!L16-WC!K16</f>
        <v>0</v>
      </c>
      <c r="L8" s="27">
        <f>WC!M16-WC!L16</f>
        <v>0</v>
      </c>
      <c r="M8" s="27">
        <f>WC!N16-WC!M16</f>
        <v>0</v>
      </c>
    </row>
    <row r="9" spans="2:13">
      <c r="B9" s="269" t="s">
        <v>203</v>
      </c>
      <c r="D9" s="27">
        <f>'Capex, Debt'!E102</f>
        <v>63.18624063333332</v>
      </c>
      <c r="E9" s="27"/>
      <c r="F9" s="27"/>
      <c r="G9" s="27"/>
      <c r="H9" s="27"/>
      <c r="I9" s="27"/>
      <c r="J9" s="27"/>
      <c r="K9" s="27"/>
      <c r="L9" s="27"/>
      <c r="M9" s="27"/>
    </row>
    <row r="10" spans="2:13">
      <c r="B10" s="269" t="s">
        <v>362</v>
      </c>
      <c r="D10" s="27"/>
      <c r="E10" s="27"/>
      <c r="F10" s="27"/>
      <c r="G10" s="27"/>
      <c r="H10" s="27"/>
      <c r="I10" s="27"/>
      <c r="J10" s="27"/>
      <c r="K10" s="27"/>
      <c r="L10" s="27"/>
      <c r="M10" s="27"/>
    </row>
    <row r="11" spans="2:13">
      <c r="B11" s="269" t="s">
        <v>159</v>
      </c>
      <c r="D11" s="254">
        <f>'Capex, Debt'!E101</f>
        <v>115</v>
      </c>
      <c r="E11" s="27"/>
      <c r="F11" s="27"/>
      <c r="G11" s="27"/>
      <c r="H11" s="27"/>
      <c r="I11" s="27"/>
      <c r="J11" s="27"/>
      <c r="K11" s="27"/>
      <c r="L11" s="27"/>
      <c r="M11" s="27"/>
    </row>
    <row r="12" spans="2:13">
      <c r="B12" s="268" t="s">
        <v>160</v>
      </c>
      <c r="D12" s="27">
        <f>WC!E20-WC!D20</f>
        <v>78.571221900000012</v>
      </c>
      <c r="E12" s="27">
        <f>WC!F20-WC!E20</f>
        <v>48.530357174999978</v>
      </c>
      <c r="F12" s="27">
        <f>WC!G20-WC!F20</f>
        <v>34.948662637500007</v>
      </c>
      <c r="G12" s="27">
        <f>WC!H20-WC!G20</f>
        <v>36.125304215625022</v>
      </c>
      <c r="H12" s="27">
        <f>WC!I20-WC!H20</f>
        <v>36.138438653906178</v>
      </c>
      <c r="I12" s="27">
        <f>WC!J20-WC!I20</f>
        <v>36.152672220351576</v>
      </c>
      <c r="J12" s="27">
        <f>WC!K20-WC!J20</f>
        <v>2.5460386619942028</v>
      </c>
      <c r="K12" s="27">
        <f>WC!L20-WC!K20</f>
        <v>0.23374620978131588</v>
      </c>
      <c r="L12" s="27">
        <f>WC!M20-WC!L20</f>
        <v>0.25191079017668017</v>
      </c>
      <c r="M12" s="27">
        <f>WC!N20-WC!M20</f>
        <v>0.27163132658239419</v>
      </c>
    </row>
    <row r="13" spans="2:13">
      <c r="B13" s="193" t="s">
        <v>161</v>
      </c>
      <c r="C13" s="193"/>
      <c r="D13" s="195">
        <f>SUM(D5:D12)</f>
        <v>303.79966994783331</v>
      </c>
      <c r="E13" s="195">
        <f t="shared" ref="E13:M13" si="0">SUM(E5:E12)</f>
        <v>95.042008598082077</v>
      </c>
      <c r="F13" s="195">
        <f t="shared" si="0"/>
        <v>117.69186800120096</v>
      </c>
      <c r="G13" s="195">
        <f t="shared" si="0"/>
        <v>143.24717044784342</v>
      </c>
      <c r="H13" s="195">
        <f t="shared" si="0"/>
        <v>167.8891929213782</v>
      </c>
      <c r="I13" s="195">
        <f t="shared" si="0"/>
        <v>192.35558955161952</v>
      </c>
      <c r="J13" s="195">
        <f t="shared" si="0"/>
        <v>145.28198597127368</v>
      </c>
      <c r="K13" s="195">
        <f t="shared" si="0"/>
        <v>140.17524109084789</v>
      </c>
      <c r="L13" s="195">
        <f t="shared" si="0"/>
        <v>136.34681529936469</v>
      </c>
      <c r="M13" s="195">
        <f t="shared" si="0"/>
        <v>131.89555113078899</v>
      </c>
    </row>
    <row r="14" spans="2:13">
      <c r="B14" s="269" t="s">
        <v>162</v>
      </c>
      <c r="D14" s="27">
        <f>Depreciation!E16</f>
        <v>151.99583333333334</v>
      </c>
      <c r="E14" s="27"/>
      <c r="F14" s="27"/>
      <c r="G14" s="27"/>
      <c r="H14" s="27"/>
      <c r="I14" s="27"/>
      <c r="J14" s="27"/>
      <c r="K14" s="27"/>
      <c r="L14" s="27"/>
      <c r="M14" s="27"/>
    </row>
    <row r="15" spans="2:13">
      <c r="B15" s="2" t="s">
        <v>168</v>
      </c>
      <c r="D15" s="27"/>
      <c r="E15" s="27"/>
      <c r="F15" s="27"/>
      <c r="G15" s="27"/>
      <c r="H15" s="27"/>
      <c r="I15" s="27"/>
      <c r="J15" s="27"/>
      <c r="K15" s="27"/>
    </row>
    <row r="16" spans="2:13">
      <c r="B16" s="268" t="s">
        <v>163</v>
      </c>
      <c r="D16" s="27">
        <f>WC!E12-WC!D12</f>
        <v>150.75162920000002</v>
      </c>
      <c r="E16" s="27">
        <f>WC!F12-WC!E12</f>
        <v>62.024392899999953</v>
      </c>
      <c r="F16" s="27">
        <f>WC!G12-WC!F12</f>
        <v>59.245466850000014</v>
      </c>
      <c r="G16" s="27">
        <f>WC!H12-WC!G12</f>
        <v>60.431072287500058</v>
      </c>
      <c r="H16" s="27">
        <f>WC!I12-WC!H12</f>
        <v>60.448584871874914</v>
      </c>
      <c r="I16" s="27">
        <f>WC!J12-WC!I12</f>
        <v>60.467562960468797</v>
      </c>
      <c r="J16" s="27">
        <f>WC!K12-WC!J12</f>
        <v>2.6282182159922058</v>
      </c>
      <c r="K16" s="27">
        <f>WC!L12-WC!K12</f>
        <v>0.31166161304179241</v>
      </c>
      <c r="L16" s="27">
        <f>WC!M12-WC!L12</f>
        <v>0.33588105356886899</v>
      </c>
      <c r="M16" s="27">
        <f>WC!N12-WC!M12</f>
        <v>0.36217510210985893</v>
      </c>
    </row>
    <row r="17" spans="2:13">
      <c r="B17" s="2" t="s">
        <v>164</v>
      </c>
      <c r="D17" s="27">
        <f>'Capex, Debt'!E110</f>
        <v>0</v>
      </c>
      <c r="E17" s="254">
        <f>'Capex, Debt'!F110</f>
        <v>10.781249999999996</v>
      </c>
      <c r="F17" s="254">
        <f>'Capex, Debt'!G110</f>
        <v>14.374999999999995</v>
      </c>
      <c r="G17" s="254">
        <f>'Capex, Debt'!H110</f>
        <v>14.374999999999995</v>
      </c>
      <c r="H17" s="254">
        <f>'Capex, Debt'!I110</f>
        <v>14.374999999999995</v>
      </c>
      <c r="I17" s="254">
        <f>'Capex, Debt'!J110</f>
        <v>14.374999999999995</v>
      </c>
      <c r="J17" s="254">
        <f>'Capex, Debt'!K110</f>
        <v>14.374999999999995</v>
      </c>
      <c r="K17" s="254">
        <f>'Capex, Debt'!L110</f>
        <v>14.374999999999995</v>
      </c>
      <c r="L17" s="254">
        <f>'Capex, Debt'!M110</f>
        <v>14.374999999999995</v>
      </c>
      <c r="M17" s="254">
        <f>'Capex, Debt'!N110</f>
        <v>3.5937499999999996</v>
      </c>
    </row>
    <row r="18" spans="2:13">
      <c r="B18" s="193" t="s">
        <v>165</v>
      </c>
      <c r="C18" s="193"/>
      <c r="D18" s="195">
        <f>SUM(D14:D17)</f>
        <v>302.74746253333336</v>
      </c>
      <c r="E18" s="195">
        <f t="shared" ref="E18:M18" si="1">SUM(E14:E17)</f>
        <v>72.805642899999953</v>
      </c>
      <c r="F18" s="195">
        <f t="shared" si="1"/>
        <v>73.620466850000014</v>
      </c>
      <c r="G18" s="195">
        <f t="shared" si="1"/>
        <v>74.806072287500058</v>
      </c>
      <c r="H18" s="195">
        <f t="shared" si="1"/>
        <v>74.823584871874914</v>
      </c>
      <c r="I18" s="195">
        <f t="shared" si="1"/>
        <v>74.842562960468797</v>
      </c>
      <c r="J18" s="195">
        <f t="shared" si="1"/>
        <v>17.003218215992199</v>
      </c>
      <c r="K18" s="195">
        <f t="shared" si="1"/>
        <v>14.686661613041787</v>
      </c>
      <c r="L18" s="195">
        <f t="shared" si="1"/>
        <v>14.710881053568864</v>
      </c>
      <c r="M18" s="195">
        <f t="shared" si="1"/>
        <v>3.9559251021098585</v>
      </c>
    </row>
    <row r="19" spans="2:13">
      <c r="B19" s="170" t="s">
        <v>166</v>
      </c>
      <c r="C19" s="170"/>
      <c r="D19" s="241">
        <v>0</v>
      </c>
      <c r="E19" s="196">
        <f>D21</f>
        <v>1.0522074144999465</v>
      </c>
      <c r="F19" s="196">
        <f t="shared" ref="F19:M19" si="2">E21</f>
        <v>23.288573112582071</v>
      </c>
      <c r="G19" s="196">
        <f t="shared" si="2"/>
        <v>67.359974263783016</v>
      </c>
      <c r="H19" s="196">
        <f t="shared" si="2"/>
        <v>135.80107242412637</v>
      </c>
      <c r="I19" s="196">
        <f t="shared" si="2"/>
        <v>228.86668047362966</v>
      </c>
      <c r="J19" s="196">
        <f t="shared" si="2"/>
        <v>346.3797070647804</v>
      </c>
      <c r="K19" s="196">
        <f t="shared" si="2"/>
        <v>474.65847482006188</v>
      </c>
      <c r="L19" s="196">
        <f t="shared" si="2"/>
        <v>600.14705429786795</v>
      </c>
      <c r="M19" s="196">
        <f t="shared" si="2"/>
        <v>721.78298854366381</v>
      </c>
    </row>
    <row r="20" spans="2:13">
      <c r="B20" s="2" t="s">
        <v>167</v>
      </c>
      <c r="D20" s="89">
        <f>D13-D18</f>
        <v>1.0522074144999465</v>
      </c>
      <c r="E20" s="89">
        <f>E13-E18</f>
        <v>22.236365698082125</v>
      </c>
      <c r="F20" s="89">
        <f t="shared" ref="F20:M20" si="3">F13-F18</f>
        <v>44.071401151200945</v>
      </c>
      <c r="G20" s="89">
        <f t="shared" si="3"/>
        <v>68.441098160343358</v>
      </c>
      <c r="H20" s="89">
        <f t="shared" si="3"/>
        <v>93.065608049503282</v>
      </c>
      <c r="I20" s="89">
        <f t="shared" si="3"/>
        <v>117.51302659115072</v>
      </c>
      <c r="J20" s="89">
        <f t="shared" si="3"/>
        <v>128.27876775528148</v>
      </c>
      <c r="K20" s="89">
        <f t="shared" si="3"/>
        <v>125.4885794778061</v>
      </c>
      <c r="L20" s="89">
        <f t="shared" si="3"/>
        <v>121.63593424579582</v>
      </c>
      <c r="M20" s="89">
        <f t="shared" si="3"/>
        <v>127.93962602867913</v>
      </c>
    </row>
    <row r="21" spans="2:13">
      <c r="B21" s="44" t="s">
        <v>44</v>
      </c>
      <c r="C21" s="44"/>
      <c r="D21" s="154">
        <f>D19+D20</f>
        <v>1.0522074144999465</v>
      </c>
      <c r="E21" s="154">
        <f>E19+E20</f>
        <v>23.288573112582071</v>
      </c>
      <c r="F21" s="154">
        <f t="shared" ref="F21:M21" si="4">F19+F20</f>
        <v>67.359974263783016</v>
      </c>
      <c r="G21" s="154">
        <f t="shared" si="4"/>
        <v>135.80107242412637</v>
      </c>
      <c r="H21" s="154">
        <f t="shared" si="4"/>
        <v>228.86668047362966</v>
      </c>
      <c r="I21" s="154">
        <f t="shared" si="4"/>
        <v>346.3797070647804</v>
      </c>
      <c r="J21" s="154">
        <f t="shared" si="4"/>
        <v>474.65847482006188</v>
      </c>
      <c r="K21" s="154">
        <f t="shared" si="4"/>
        <v>600.14705429786795</v>
      </c>
      <c r="L21" s="154">
        <f t="shared" si="4"/>
        <v>721.78298854366381</v>
      </c>
      <c r="M21" s="154">
        <f t="shared" si="4"/>
        <v>849.72261457234299</v>
      </c>
    </row>
    <row r="23" spans="2:13">
      <c r="D23" s="27">
        <f>SUM(D5:M7)-'Capex, Debt'!C110-(WC!N18-WC!E18)</f>
        <v>849.72261457234276</v>
      </c>
    </row>
    <row r="24" spans="2:13">
      <c r="D24" s="27"/>
      <c r="E24" s="27"/>
      <c r="F24" s="27"/>
      <c r="G24" s="27"/>
      <c r="H24" s="27"/>
      <c r="I24" s="27"/>
      <c r="J24" s="27"/>
      <c r="K24" s="27"/>
      <c r="L24" s="27"/>
      <c r="M24" s="27"/>
    </row>
    <row r="25" spans="2:13">
      <c r="D25" s="27"/>
      <c r="E25" s="27"/>
      <c r="F25" s="27"/>
      <c r="G25" s="27"/>
      <c r="H25" s="27"/>
      <c r="I25" s="27"/>
      <c r="J25" s="27"/>
      <c r="K25" s="27"/>
      <c r="L25" s="27"/>
      <c r="M25" s="2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tabColor rgb="FF002060"/>
  </sheetPr>
  <dimension ref="B2:M44"/>
  <sheetViews>
    <sheetView showGridLines="0" topLeftCell="A4" zoomScale="200" zoomScaleNormal="200" workbookViewId="0">
      <selection activeCell="B6" sqref="B6"/>
    </sheetView>
  </sheetViews>
  <sheetFormatPr baseColWidth="10" defaultColWidth="9.1640625" defaultRowHeight="13"/>
  <cols>
    <col min="1" max="1" width="3.33203125" style="2" customWidth="1"/>
    <col min="2" max="2" width="34.83203125" style="2" customWidth="1"/>
    <col min="3" max="13" width="10.6640625" style="2" customWidth="1"/>
    <col min="14" max="16384" width="9.1640625" style="2"/>
  </cols>
  <sheetData>
    <row r="2" spans="2:13">
      <c r="B2" s="37" t="s">
        <v>57</v>
      </c>
    </row>
    <row r="4" spans="2:13">
      <c r="B4" s="37" t="s">
        <v>69</v>
      </c>
      <c r="C4" s="93">
        <f>EOMONTH(D4,-12)</f>
        <v>43921</v>
      </c>
      <c r="D4" s="93">
        <f>CF!D4</f>
        <v>44286</v>
      </c>
      <c r="E4" s="93">
        <f>CF!E4</f>
        <v>44651</v>
      </c>
      <c r="F4" s="93">
        <f>CF!F4</f>
        <v>45016</v>
      </c>
      <c r="G4" s="93">
        <f>CF!G4</f>
        <v>45382</v>
      </c>
      <c r="H4" s="93">
        <f>CF!H4</f>
        <v>45747</v>
      </c>
      <c r="I4" s="93">
        <f>CF!I4</f>
        <v>46112</v>
      </c>
      <c r="J4" s="93">
        <f>CF!J4</f>
        <v>46477</v>
      </c>
      <c r="K4" s="93">
        <f>CF!K4</f>
        <v>46843</v>
      </c>
      <c r="L4" s="93">
        <f>CF!L4</f>
        <v>47208</v>
      </c>
      <c r="M4" s="93">
        <f>CF!M4</f>
        <v>47573</v>
      </c>
    </row>
    <row r="6" spans="2:13">
      <c r="B6" s="192" t="s">
        <v>363</v>
      </c>
      <c r="C6" s="81"/>
      <c r="D6" s="145">
        <f>SUM(D7:D9)</f>
        <v>61.832893513561416</v>
      </c>
      <c r="E6" s="145">
        <f t="shared" ref="E6:M6" si="0">SUM(E7:E9)</f>
        <v>96.348708599091651</v>
      </c>
      <c r="F6" s="145">
        <f t="shared" si="0"/>
        <v>155.02897795615883</v>
      </c>
      <c r="G6" s="145">
        <f t="shared" si="0"/>
        <v>239.12094454316309</v>
      </c>
      <c r="H6" s="145">
        <f t="shared" si="0"/>
        <v>348.38249635675146</v>
      </c>
      <c r="I6" s="145">
        <f t="shared" si="0"/>
        <v>482.55126698989102</v>
      </c>
      <c r="J6" s="145">
        <f t="shared" si="0"/>
        <v>616.66865071721145</v>
      </c>
      <c r="K6" s="145">
        <f t="shared" si="0"/>
        <v>747.66646115780259</v>
      </c>
      <c r="L6" s="145">
        <f t="shared" si="0"/>
        <v>875.10349021438435</v>
      </c>
      <c r="M6" s="145">
        <f t="shared" si="0"/>
        <v>998.30547095438408</v>
      </c>
    </row>
    <row r="7" spans="2:13">
      <c r="B7" s="2" t="s">
        <v>58</v>
      </c>
      <c r="C7" s="27"/>
      <c r="D7" s="27">
        <f>C7+CF!D9</f>
        <v>63.18624063333332</v>
      </c>
      <c r="E7" s="27">
        <f>D7+CF!E9</f>
        <v>63.18624063333332</v>
      </c>
      <c r="F7" s="27">
        <f>E7+CF!F9</f>
        <v>63.18624063333332</v>
      </c>
      <c r="G7" s="27">
        <f>F7+CF!G9</f>
        <v>63.18624063333332</v>
      </c>
      <c r="H7" s="27">
        <f>G7+CF!H9</f>
        <v>63.18624063333332</v>
      </c>
      <c r="I7" s="27">
        <f>H7+CF!I9</f>
        <v>63.18624063333332</v>
      </c>
      <c r="J7" s="27">
        <f>I7+CF!J9</f>
        <v>63.18624063333332</v>
      </c>
      <c r="K7" s="27">
        <f>J7+CF!K9</f>
        <v>63.18624063333332</v>
      </c>
      <c r="L7" s="27">
        <f>K7+CF!L9</f>
        <v>63.18624063333332</v>
      </c>
      <c r="M7" s="27">
        <f>L7+CF!M9</f>
        <v>63.18624063333332</v>
      </c>
    </row>
    <row r="8" spans="2:13">
      <c r="B8" s="2" t="s">
        <v>59</v>
      </c>
      <c r="C8" s="27"/>
      <c r="D8" s="27">
        <f>C8+CF!D5</f>
        <v>-1.3533471197719074</v>
      </c>
      <c r="E8" s="27">
        <f>D8+CF!E5</f>
        <v>33.162467965758339</v>
      </c>
      <c r="F8" s="27">
        <f>E8+CF!F5</f>
        <v>91.842737322825499</v>
      </c>
      <c r="G8" s="27">
        <f>F8+CF!G5</f>
        <v>175.93470390982978</v>
      </c>
      <c r="H8" s="27">
        <f>G8+CF!H5</f>
        <v>285.19625572341812</v>
      </c>
      <c r="I8" s="27">
        <f>H8+CF!I5</f>
        <v>419.36502635655768</v>
      </c>
      <c r="J8" s="27">
        <f>I8+CF!J5</f>
        <v>553.48241008387811</v>
      </c>
      <c r="K8" s="27">
        <f>J8+CF!K5</f>
        <v>684.48022052446925</v>
      </c>
      <c r="L8" s="27">
        <f>K8+CF!L5</f>
        <v>811.91724958105101</v>
      </c>
      <c r="M8" s="27">
        <f>L8+CF!M5</f>
        <v>935.11923032105074</v>
      </c>
    </row>
    <row r="9" spans="2:13">
      <c r="B9" s="2" t="s">
        <v>263</v>
      </c>
      <c r="C9" s="27"/>
      <c r="D9" s="27"/>
      <c r="E9" s="27"/>
      <c r="F9" s="27"/>
      <c r="G9" s="27"/>
      <c r="H9" s="27"/>
      <c r="I9" s="27"/>
      <c r="J9" s="27"/>
      <c r="K9" s="27"/>
      <c r="L9" s="27"/>
      <c r="M9" s="27"/>
    </row>
    <row r="10" spans="2:13">
      <c r="B10" s="121" t="s">
        <v>364</v>
      </c>
      <c r="C10" s="81"/>
      <c r="D10" s="145">
        <f>SUM(D11:D12)</f>
        <v>104.21875</v>
      </c>
      <c r="E10" s="145">
        <f t="shared" ref="E10:M10" si="1">SUM(E11:E12)</f>
        <v>94.900118200464263</v>
      </c>
      <c r="F10" s="145">
        <f t="shared" si="1"/>
        <v>82.318586070010454</v>
      </c>
      <c r="G10" s="145">
        <f t="shared" si="1"/>
        <v>69.087267578136931</v>
      </c>
      <c r="H10" s="145">
        <f t="shared" si="1"/>
        <v>55.315251894933049</v>
      </c>
      <c r="I10" s="145">
        <f t="shared" si="1"/>
        <v>41.088180455973848</v>
      </c>
      <c r="J10" s="145">
        <f t="shared" si="1"/>
        <v>26.476025900845286</v>
      </c>
      <c r="K10" s="145">
        <f t="shared" si="1"/>
        <v>11.575707116775771</v>
      </c>
      <c r="L10" s="145">
        <f t="shared" si="1"/>
        <v>7.1818529334320012</v>
      </c>
      <c r="M10" s="145">
        <f t="shared" si="1"/>
        <v>6.1458123616889431</v>
      </c>
    </row>
    <row r="11" spans="2:13">
      <c r="B11" s="2" t="s">
        <v>16</v>
      </c>
      <c r="C11" s="27"/>
      <c r="D11" s="27">
        <f>'Capex, Debt'!E111-D16</f>
        <v>104.21875</v>
      </c>
      <c r="E11" s="27">
        <f>'Capex, Debt'!F111-E16</f>
        <v>89.84375</v>
      </c>
      <c r="F11" s="27">
        <f>'Capex, Debt'!G111-F16</f>
        <v>75.46875</v>
      </c>
      <c r="G11" s="27">
        <f>'Capex, Debt'!H111-G16</f>
        <v>61.093750000000007</v>
      </c>
      <c r="H11" s="27">
        <f>'Capex, Debt'!I111-H16</f>
        <v>46.718750000000014</v>
      </c>
      <c r="I11" s="27">
        <f>'Capex, Debt'!J111-I16</f>
        <v>32.343750000000021</v>
      </c>
      <c r="J11" s="27">
        <f>'Capex, Debt'!K111-J16</f>
        <v>17.968750000000028</v>
      </c>
      <c r="K11" s="27">
        <f>'Capex, Debt'!L111-K16</f>
        <v>3.5937500000000338</v>
      </c>
      <c r="L11" s="27">
        <f>'Capex, Debt'!M111-L16</f>
        <v>3.4194869158454821E-14</v>
      </c>
      <c r="M11" s="27">
        <f>'Capex, Debt'!N111-M16</f>
        <v>3.4194869158454821E-14</v>
      </c>
    </row>
    <row r="12" spans="2:13">
      <c r="B12" s="2" t="s">
        <v>484</v>
      </c>
      <c r="C12" s="27"/>
      <c r="D12" s="27">
        <f>C12+CF!D7</f>
        <v>0</v>
      </c>
      <c r="E12" s="27">
        <f>D12+CF!E7</f>
        <v>5.0563682004642612</v>
      </c>
      <c r="F12" s="27">
        <f>E12+CF!F7</f>
        <v>6.8498360700104488</v>
      </c>
      <c r="G12" s="27">
        <f>F12+CF!G7</f>
        <v>7.9935175781369292</v>
      </c>
      <c r="H12" s="27">
        <f>G12+CF!H7</f>
        <v>8.5965018949330325</v>
      </c>
      <c r="I12" s="27">
        <f>H12+CF!I7</f>
        <v>8.7444304559738253</v>
      </c>
      <c r="J12" s="27">
        <f>I12+CF!J7</f>
        <v>8.5072759008452561</v>
      </c>
      <c r="K12" s="27">
        <f>J12+CF!K7</f>
        <v>7.981957116775737</v>
      </c>
      <c r="L12" s="27">
        <f>K12+CF!L7</f>
        <v>7.1818529334319674</v>
      </c>
      <c r="M12" s="27">
        <f>L12+CF!M7</f>
        <v>6.1458123616889093</v>
      </c>
    </row>
    <row r="13" spans="2:13">
      <c r="B13" s="121" t="s">
        <v>64</v>
      </c>
      <c r="C13" s="176"/>
      <c r="D13" s="145">
        <f>SUM(D14:D17)</f>
        <v>135.34247190000002</v>
      </c>
      <c r="E13" s="145">
        <f t="shared" ref="E13:M13" si="2">SUM(E14:E17)</f>
        <v>184.78382907499997</v>
      </c>
      <c r="F13" s="145">
        <f t="shared" si="2"/>
        <v>232.37974171249999</v>
      </c>
      <c r="G13" s="145">
        <f t="shared" si="2"/>
        <v>280.76904592812502</v>
      </c>
      <c r="H13" s="145">
        <f t="shared" si="2"/>
        <v>329.17148458203121</v>
      </c>
      <c r="I13" s="145">
        <f t="shared" si="2"/>
        <v>377.5881568023828</v>
      </c>
      <c r="J13" s="145">
        <f t="shared" si="2"/>
        <v>379.36769546437699</v>
      </c>
      <c r="K13" s="145">
        <f t="shared" si="2"/>
        <v>379.60144167415831</v>
      </c>
      <c r="L13" s="145">
        <f t="shared" si="2"/>
        <v>369.07210246433499</v>
      </c>
      <c r="M13" s="145">
        <f t="shared" si="2"/>
        <v>365.74998379091738</v>
      </c>
    </row>
    <row r="14" spans="2:13">
      <c r="B14" s="2" t="s">
        <v>98</v>
      </c>
      <c r="C14" s="27"/>
      <c r="D14" s="27">
        <f>WC!E14</f>
        <v>45.990000000000009</v>
      </c>
      <c r="E14" s="27">
        <f>WC!F14</f>
        <v>43.307249999999989</v>
      </c>
      <c r="F14" s="27">
        <f>WC!G14</f>
        <v>55.954499999999996</v>
      </c>
      <c r="G14" s="27">
        <f>WC!H14</f>
        <v>68.21850000000002</v>
      </c>
      <c r="H14" s="27">
        <f>WC!I14</f>
        <v>80.482500000000002</v>
      </c>
      <c r="I14" s="27">
        <f>WC!J14</f>
        <v>92.746500000000026</v>
      </c>
      <c r="J14" s="27">
        <f>WC!K14</f>
        <v>91.980000000000018</v>
      </c>
      <c r="K14" s="27">
        <f>WC!L14</f>
        <v>91.980000000000018</v>
      </c>
      <c r="L14" s="27">
        <f>WC!M14</f>
        <v>91.980000000000018</v>
      </c>
      <c r="M14" s="27">
        <f>WC!N14</f>
        <v>91.980000000000018</v>
      </c>
    </row>
    <row r="15" spans="2:13">
      <c r="B15" s="2" t="s">
        <v>99</v>
      </c>
      <c r="C15" s="27"/>
      <c r="D15" s="27">
        <f>WC!E15</f>
        <v>0</v>
      </c>
      <c r="E15" s="27">
        <f>WC!F15</f>
        <v>0</v>
      </c>
      <c r="F15" s="27">
        <f>WC!G15</f>
        <v>0</v>
      </c>
      <c r="G15" s="27">
        <f>WC!H15</f>
        <v>0</v>
      </c>
      <c r="H15" s="27">
        <f>WC!I15</f>
        <v>0</v>
      </c>
      <c r="I15" s="27">
        <f>WC!J15</f>
        <v>0</v>
      </c>
      <c r="J15" s="27">
        <f>WC!K15</f>
        <v>0</v>
      </c>
      <c r="K15" s="27">
        <f>WC!L15</f>
        <v>0</v>
      </c>
      <c r="L15" s="27">
        <f>WC!M15</f>
        <v>0</v>
      </c>
      <c r="M15" s="27">
        <f>WC!N15</f>
        <v>0</v>
      </c>
    </row>
    <row r="16" spans="2:13">
      <c r="B16" s="2" t="s">
        <v>365</v>
      </c>
      <c r="C16" s="27"/>
      <c r="D16" s="27">
        <f>'Capex, Debt'!F110</f>
        <v>10.781249999999996</v>
      </c>
      <c r="E16" s="27">
        <f>'Capex, Debt'!G110</f>
        <v>14.374999999999995</v>
      </c>
      <c r="F16" s="27">
        <f>'Capex, Debt'!H110</f>
        <v>14.374999999999995</v>
      </c>
      <c r="G16" s="27">
        <f>'Capex, Debt'!I110</f>
        <v>14.374999999999995</v>
      </c>
      <c r="H16" s="27">
        <f>'Capex, Debt'!J110</f>
        <v>14.374999999999995</v>
      </c>
      <c r="I16" s="27">
        <f>'Capex, Debt'!K110</f>
        <v>14.374999999999995</v>
      </c>
      <c r="J16" s="27">
        <f>'Capex, Debt'!L110</f>
        <v>14.374999999999995</v>
      </c>
      <c r="K16" s="27">
        <f>'Capex, Debt'!M110</f>
        <v>14.374999999999995</v>
      </c>
      <c r="L16" s="27">
        <f>'Capex, Debt'!N110</f>
        <v>3.5937499999999996</v>
      </c>
      <c r="M16" s="27">
        <f>'Capex, Debt'!O110</f>
        <v>0</v>
      </c>
    </row>
    <row r="17" spans="2:13">
      <c r="B17" s="2" t="s">
        <v>366</v>
      </c>
      <c r="C17" s="27"/>
      <c r="D17" s="27">
        <f>WC!E20</f>
        <v>78.571221900000012</v>
      </c>
      <c r="E17" s="27">
        <f>WC!F20</f>
        <v>127.10157907499999</v>
      </c>
      <c r="F17" s="27">
        <f>WC!G20</f>
        <v>162.0502417125</v>
      </c>
      <c r="G17" s="27">
        <f>WC!H20</f>
        <v>198.17554592812502</v>
      </c>
      <c r="H17" s="27">
        <f>WC!I20</f>
        <v>234.3139845820312</v>
      </c>
      <c r="I17" s="27">
        <f>WC!J20</f>
        <v>270.46665680238277</v>
      </c>
      <c r="J17" s="27">
        <f>WC!K20</f>
        <v>273.01269546437697</v>
      </c>
      <c r="K17" s="27">
        <f>WC!L20</f>
        <v>273.24644167415829</v>
      </c>
      <c r="L17" s="27">
        <f>WC!M20</f>
        <v>273.49835246433497</v>
      </c>
      <c r="M17" s="27">
        <f>WC!N20</f>
        <v>273.76998379091737</v>
      </c>
    </row>
    <row r="18" spans="2:13">
      <c r="B18" s="193" t="s">
        <v>399</v>
      </c>
      <c r="C18" s="194"/>
      <c r="D18" s="195">
        <f>D6+D10+D13</f>
        <v>301.39411541356145</v>
      </c>
      <c r="E18" s="195">
        <f t="shared" ref="E18:M18" si="3">E6+E10+E13</f>
        <v>376.03265587455587</v>
      </c>
      <c r="F18" s="195">
        <f t="shared" si="3"/>
        <v>469.72730573866926</v>
      </c>
      <c r="G18" s="195">
        <f t="shared" si="3"/>
        <v>588.97725804942502</v>
      </c>
      <c r="H18" s="195">
        <f t="shared" si="3"/>
        <v>732.86923283371573</v>
      </c>
      <c r="I18" s="195">
        <f t="shared" si="3"/>
        <v>901.22760424824764</v>
      </c>
      <c r="J18" s="195">
        <f t="shared" si="3"/>
        <v>1022.5123720824338</v>
      </c>
      <c r="K18" s="195">
        <f t="shared" si="3"/>
        <v>1138.8436099487367</v>
      </c>
      <c r="L18" s="195">
        <f t="shared" si="3"/>
        <v>1251.3574456121514</v>
      </c>
      <c r="M18" s="195">
        <f t="shared" si="3"/>
        <v>1370.2012671069904</v>
      </c>
    </row>
    <row r="19" spans="2:13">
      <c r="B19" s="191" t="s">
        <v>60</v>
      </c>
    </row>
    <row r="20" spans="2:13">
      <c r="B20" s="2" t="s">
        <v>61</v>
      </c>
      <c r="C20" s="27"/>
      <c r="D20" s="27">
        <f>Depreciation!E110</f>
        <v>151.99583333333334</v>
      </c>
      <c r="E20" s="27">
        <f>Depreciation!F110</f>
        <v>151.99583333333334</v>
      </c>
      <c r="F20" s="27">
        <f>Depreciation!G110</f>
        <v>151.99583333333334</v>
      </c>
      <c r="G20" s="27">
        <f>Depreciation!H110</f>
        <v>151.99583333333334</v>
      </c>
      <c r="H20" s="27">
        <f>Depreciation!I110</f>
        <v>151.99583333333334</v>
      </c>
      <c r="I20" s="27">
        <f>Depreciation!J110</f>
        <v>151.99583333333334</v>
      </c>
      <c r="J20" s="27">
        <f>Depreciation!K110</f>
        <v>151.99583333333334</v>
      </c>
      <c r="K20" s="27">
        <f>Depreciation!L110</f>
        <v>151.99583333333334</v>
      </c>
      <c r="L20" s="27">
        <f>Depreciation!M110</f>
        <v>151.99583333333334</v>
      </c>
      <c r="M20" s="27">
        <f>Depreciation!N110</f>
        <v>151.99583333333334</v>
      </c>
    </row>
    <row r="21" spans="2:13">
      <c r="B21" s="2" t="s">
        <v>169</v>
      </c>
      <c r="C21" s="27"/>
      <c r="D21" s="27">
        <f>Depreciation!E113</f>
        <v>2.4055545342718996</v>
      </c>
      <c r="E21" s="27">
        <f>Depreciation!F113</f>
        <v>12.027772671359498</v>
      </c>
      <c r="F21" s="27">
        <f>Depreciation!G113</f>
        <v>21.6499908084471</v>
      </c>
      <c r="G21" s="27">
        <f>Depreciation!H113</f>
        <v>31.272208945534693</v>
      </c>
      <c r="H21" s="27">
        <f>Depreciation!I113</f>
        <v>40.894427082622293</v>
      </c>
      <c r="I21" s="27">
        <f>Depreciation!J113</f>
        <v>50.516645219709886</v>
      </c>
      <c r="J21" s="27">
        <f>Depreciation!K113</f>
        <v>60.138863356797486</v>
      </c>
      <c r="K21" s="27">
        <f>Depreciation!L113</f>
        <v>69.607866581342421</v>
      </c>
      <c r="L21" s="27">
        <f>Depreciation!M113</f>
        <v>79.065846217292375</v>
      </c>
      <c r="M21" s="27">
        <f>Depreciation!N113</f>
        <v>88.523825853242315</v>
      </c>
    </row>
    <row r="22" spans="2:13">
      <c r="B22" s="121" t="s">
        <v>225</v>
      </c>
      <c r="C22" s="145"/>
      <c r="D22" s="145">
        <f>D20-D21</f>
        <v>149.59027879906145</v>
      </c>
      <c r="E22" s="145">
        <f t="shared" ref="E22:M22" si="4">E20-E21</f>
        <v>139.96806066197385</v>
      </c>
      <c r="F22" s="145">
        <f t="shared" si="4"/>
        <v>130.34584252488622</v>
      </c>
      <c r="G22" s="145">
        <f t="shared" si="4"/>
        <v>120.72362438779865</v>
      </c>
      <c r="H22" s="145">
        <f t="shared" si="4"/>
        <v>111.10140625071105</v>
      </c>
      <c r="I22" s="145">
        <f t="shared" si="4"/>
        <v>101.47918811362345</v>
      </c>
      <c r="J22" s="145">
        <f t="shared" si="4"/>
        <v>91.856969976535851</v>
      </c>
      <c r="K22" s="145">
        <f t="shared" si="4"/>
        <v>82.387966751990916</v>
      </c>
      <c r="L22" s="145">
        <f t="shared" si="4"/>
        <v>72.929987116040962</v>
      </c>
      <c r="M22" s="145">
        <f t="shared" si="4"/>
        <v>63.472007480091023</v>
      </c>
    </row>
    <row r="23" spans="2:13">
      <c r="B23" s="121" t="s">
        <v>96</v>
      </c>
      <c r="C23" s="145"/>
      <c r="D23" s="145">
        <f>SUM(D24:D29)</f>
        <v>151.80383661449997</v>
      </c>
      <c r="E23" s="145">
        <f t="shared" ref="E23:M23" si="5">SUM(E24:E29)</f>
        <v>236.06459521258205</v>
      </c>
      <c r="F23" s="145">
        <f t="shared" si="5"/>
        <v>339.38146321378304</v>
      </c>
      <c r="G23" s="145">
        <f t="shared" si="5"/>
        <v>468.2536336616264</v>
      </c>
      <c r="H23" s="145">
        <f t="shared" si="5"/>
        <v>621.76782658300465</v>
      </c>
      <c r="I23" s="145">
        <f t="shared" si="5"/>
        <v>799.74841613462422</v>
      </c>
      <c r="J23" s="145">
        <f t="shared" si="5"/>
        <v>930.65540210589779</v>
      </c>
      <c r="K23" s="145">
        <f t="shared" si="5"/>
        <v>1056.4556431967458</v>
      </c>
      <c r="L23" s="145">
        <f t="shared" si="5"/>
        <v>1178.4274584961104</v>
      </c>
      <c r="M23" s="145">
        <f t="shared" si="5"/>
        <v>1306.7292596268994</v>
      </c>
    </row>
    <row r="24" spans="2:13">
      <c r="B24" s="2" t="s">
        <v>367</v>
      </c>
      <c r="C24" s="27"/>
      <c r="D24" s="27">
        <f>WC!E7</f>
        <v>27.594000000000008</v>
      </c>
      <c r="E24" s="27">
        <f>WC!F7</f>
        <v>32.192999999999998</v>
      </c>
      <c r="F24" s="27">
        <f>WC!G7</f>
        <v>41.390999999999998</v>
      </c>
      <c r="G24" s="27">
        <f>WC!H7</f>
        <v>50.589000000000013</v>
      </c>
      <c r="H24" s="27">
        <f>WC!I7</f>
        <v>59.786999999999992</v>
      </c>
      <c r="I24" s="27">
        <f>WC!J7</f>
        <v>68.985000000000014</v>
      </c>
      <c r="J24" s="27">
        <f>WC!K7</f>
        <v>68.985000000000014</v>
      </c>
      <c r="K24" s="27">
        <f>WC!L7</f>
        <v>68.985000000000014</v>
      </c>
      <c r="L24" s="27">
        <f>WC!M7</f>
        <v>68.985000000000014</v>
      </c>
      <c r="M24" s="27">
        <f>WC!N7</f>
        <v>68.985000000000014</v>
      </c>
    </row>
    <row r="25" spans="2:13">
      <c r="B25" s="2" t="s">
        <v>344</v>
      </c>
      <c r="C25" s="27"/>
      <c r="D25" s="27">
        <f>WC!E8</f>
        <v>25.294</v>
      </c>
      <c r="E25" s="27">
        <f>WC!F8</f>
        <v>29.320799999999998</v>
      </c>
      <c r="F25" s="27">
        <f>WC!G8</f>
        <v>37.259790000000002</v>
      </c>
      <c r="G25" s="27">
        <f>WC!H8</f>
        <v>45.208729500000025</v>
      </c>
      <c r="H25" s="27">
        <f>WC!I8</f>
        <v>53.168445975000026</v>
      </c>
      <c r="I25" s="27">
        <f>WC!J8</f>
        <v>61.139841273750008</v>
      </c>
      <c r="J25" s="27">
        <f>WC!K8</f>
        <v>61.317898637437509</v>
      </c>
      <c r="K25" s="27">
        <f>WC!L8</f>
        <v>61.509690399309399</v>
      </c>
      <c r="L25" s="27">
        <f>WC!M8</f>
        <v>61.716386432274852</v>
      </c>
      <c r="M25" s="27">
        <f>WC!N8</f>
        <v>61.939263418188595</v>
      </c>
    </row>
    <row r="26" spans="2:13">
      <c r="B26" s="2" t="s">
        <v>345</v>
      </c>
      <c r="C26" s="27"/>
      <c r="D26" s="27">
        <f>WC!E9</f>
        <v>15.80875</v>
      </c>
      <c r="E26" s="27">
        <f>WC!F9</f>
        <v>18.325499999999998</v>
      </c>
      <c r="F26" s="27">
        <f>WC!G9</f>
        <v>23.287368749999999</v>
      </c>
      <c r="G26" s="27">
        <f>WC!H9</f>
        <v>28.255455937500013</v>
      </c>
      <c r="H26" s="27">
        <f>WC!I9</f>
        <v>33.230278734375013</v>
      </c>
      <c r="I26" s="27">
        <f>WC!J9</f>
        <v>38.212400796093753</v>
      </c>
      <c r="J26" s="27">
        <f>WC!K9</f>
        <v>38.323686648398443</v>
      </c>
      <c r="K26" s="27">
        <f>WC!L9</f>
        <v>38.443556499568373</v>
      </c>
      <c r="L26" s="27">
        <f>WC!M9</f>
        <v>38.572741520171782</v>
      </c>
      <c r="M26" s="27">
        <f>WC!N9</f>
        <v>38.712039636367869</v>
      </c>
    </row>
    <row r="27" spans="2:13">
      <c r="B27" s="2" t="s">
        <v>102</v>
      </c>
      <c r="C27" s="27"/>
      <c r="D27" s="27">
        <f>WC!E10</f>
        <v>80.445959999999999</v>
      </c>
      <c r="E27" s="27">
        <f>WC!F10</f>
        <v>123.08955749999998</v>
      </c>
      <c r="F27" s="27">
        <f>WC!G10</f>
        <v>157.484565</v>
      </c>
      <c r="G27" s="27">
        <f>WC!H10</f>
        <v>192.96238500000004</v>
      </c>
      <c r="H27" s="27">
        <f>WC!I10</f>
        <v>228.44020499999999</v>
      </c>
      <c r="I27" s="27">
        <f>WC!J10</f>
        <v>263.918025</v>
      </c>
      <c r="J27" s="27">
        <f>WC!K10</f>
        <v>266.08364999999998</v>
      </c>
      <c r="K27" s="27">
        <f>WC!L10</f>
        <v>266.08364999999998</v>
      </c>
      <c r="L27" s="27">
        <f>WC!M10</f>
        <v>266.08364999999998</v>
      </c>
      <c r="M27" s="27">
        <f>WC!N10</f>
        <v>266.08364999999998</v>
      </c>
    </row>
    <row r="28" spans="2:13">
      <c r="B28" s="2" t="s">
        <v>84</v>
      </c>
      <c r="C28" s="27"/>
      <c r="D28" s="27">
        <f>WC!E11</f>
        <v>1.6089192000000001</v>
      </c>
      <c r="E28" s="27">
        <f>WC!F11</f>
        <v>9.8471645999999993</v>
      </c>
      <c r="F28" s="27">
        <f>WC!G11</f>
        <v>12.598765200000001</v>
      </c>
      <c r="G28" s="27">
        <f>WC!H11</f>
        <v>15.436990800000004</v>
      </c>
      <c r="H28" s="27">
        <f>WC!I11</f>
        <v>18.275216400000001</v>
      </c>
      <c r="I28" s="27">
        <f>WC!J11</f>
        <v>21.113441999999999</v>
      </c>
      <c r="J28" s="27">
        <f>WC!K11</f>
        <v>21.286691999999999</v>
      </c>
      <c r="K28" s="27">
        <f>WC!L11</f>
        <v>21.286691999999999</v>
      </c>
      <c r="L28" s="27">
        <f>WC!M11</f>
        <v>21.286691999999999</v>
      </c>
      <c r="M28" s="27">
        <f>WC!N11</f>
        <v>21.286691999999999</v>
      </c>
    </row>
    <row r="29" spans="2:13">
      <c r="B29" s="2" t="s">
        <v>63</v>
      </c>
      <c r="C29" s="27"/>
      <c r="D29" s="27">
        <f>CF!D21</f>
        <v>1.0522074144999465</v>
      </c>
      <c r="E29" s="27">
        <f>CF!E21</f>
        <v>23.288573112582071</v>
      </c>
      <c r="F29" s="27">
        <f>CF!F21</f>
        <v>67.359974263783016</v>
      </c>
      <c r="G29" s="27">
        <f>CF!G21</f>
        <v>135.80107242412637</v>
      </c>
      <c r="H29" s="27">
        <f>CF!H21</f>
        <v>228.86668047362966</v>
      </c>
      <c r="I29" s="27">
        <f>CF!I21</f>
        <v>346.3797070647804</v>
      </c>
      <c r="J29" s="27">
        <f>CF!J21</f>
        <v>474.65847482006188</v>
      </c>
      <c r="K29" s="27">
        <f>CF!K21</f>
        <v>600.14705429786795</v>
      </c>
      <c r="L29" s="27">
        <f>CF!L21</f>
        <v>721.78298854366381</v>
      </c>
      <c r="M29" s="27">
        <f>CF!M21</f>
        <v>849.72261457234299</v>
      </c>
    </row>
    <row r="30" spans="2:13">
      <c r="B30" s="193" t="s">
        <v>170</v>
      </c>
      <c r="C30" s="194"/>
      <c r="D30" s="195">
        <f>D22+D23</f>
        <v>301.39411541356139</v>
      </c>
      <c r="E30" s="195">
        <f t="shared" ref="E30:M30" si="6">E22+E23</f>
        <v>376.03265587455587</v>
      </c>
      <c r="F30" s="195">
        <f t="shared" si="6"/>
        <v>469.72730573866926</v>
      </c>
      <c r="G30" s="195">
        <f t="shared" si="6"/>
        <v>588.97725804942502</v>
      </c>
      <c r="H30" s="195">
        <f t="shared" si="6"/>
        <v>732.86923283371573</v>
      </c>
      <c r="I30" s="195">
        <f t="shared" si="6"/>
        <v>901.22760424824764</v>
      </c>
      <c r="J30" s="195">
        <f t="shared" si="6"/>
        <v>1022.5123720824337</v>
      </c>
      <c r="K30" s="195">
        <f t="shared" si="6"/>
        <v>1138.8436099487367</v>
      </c>
      <c r="L30" s="195">
        <f t="shared" si="6"/>
        <v>1251.3574456121514</v>
      </c>
      <c r="M30" s="195">
        <f t="shared" si="6"/>
        <v>1370.2012671069904</v>
      </c>
    </row>
    <row r="31" spans="2:13">
      <c r="D31" s="27"/>
      <c r="E31" s="27"/>
      <c r="F31" s="27"/>
      <c r="G31" s="27"/>
      <c r="H31" s="27"/>
      <c r="I31" s="27"/>
      <c r="J31" s="27"/>
      <c r="K31" s="27"/>
      <c r="L31" s="27"/>
      <c r="M31" s="27"/>
    </row>
    <row r="32" spans="2:13">
      <c r="B32" s="2" t="s">
        <v>76</v>
      </c>
      <c r="C32" s="27"/>
      <c r="D32" s="27">
        <f>D18-D30</f>
        <v>0</v>
      </c>
      <c r="E32" s="27">
        <f t="shared" ref="E32:M32" si="7">E18-E30</f>
        <v>0</v>
      </c>
      <c r="F32" s="27">
        <f t="shared" si="7"/>
        <v>0</v>
      </c>
      <c r="G32" s="27">
        <f t="shared" si="7"/>
        <v>0</v>
      </c>
      <c r="H32" s="27">
        <f t="shared" si="7"/>
        <v>0</v>
      </c>
      <c r="I32" s="27">
        <f t="shared" si="7"/>
        <v>0</v>
      </c>
      <c r="J32" s="27">
        <f t="shared" si="7"/>
        <v>0</v>
      </c>
      <c r="K32" s="27">
        <f t="shared" si="7"/>
        <v>0</v>
      </c>
      <c r="L32" s="27">
        <f t="shared" si="7"/>
        <v>0</v>
      </c>
      <c r="M32" s="27">
        <f t="shared" si="7"/>
        <v>0</v>
      </c>
    </row>
    <row r="44" spans="5:5" ht="14">
      <c r="E44" s="3"/>
    </row>
  </sheetData>
  <pageMargins left="0.7" right="0.7" top="0.75" bottom="0.75" header="0.3" footer="0.3"/>
  <pageSetup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2060"/>
  </sheetPr>
  <dimension ref="B2:M76"/>
  <sheetViews>
    <sheetView showGridLines="0" zoomScale="220" zoomScaleNormal="220" workbookViewId="0">
      <selection activeCell="D14" sqref="D14"/>
    </sheetView>
  </sheetViews>
  <sheetFormatPr baseColWidth="10" defaultColWidth="9.1640625" defaultRowHeight="13"/>
  <cols>
    <col min="1" max="1" width="3.83203125" style="2" customWidth="1"/>
    <col min="2" max="2" width="51.5" style="2" customWidth="1"/>
    <col min="3" max="13" width="10.6640625" style="2" customWidth="1"/>
    <col min="14" max="16384" width="9.1640625" style="2"/>
  </cols>
  <sheetData>
    <row r="2" spans="2:13">
      <c r="B2" s="37" t="s">
        <v>171</v>
      </c>
    </row>
    <row r="3" spans="2:13">
      <c r="B3" s="120"/>
    </row>
    <row r="4" spans="2:13">
      <c r="B4" s="37" t="s">
        <v>69</v>
      </c>
      <c r="C4" s="93"/>
      <c r="D4" s="93">
        <f>BS!D4</f>
        <v>44286</v>
      </c>
      <c r="E4" s="93">
        <f>BS!E4</f>
        <v>44651</v>
      </c>
      <c r="F4" s="93">
        <f>BS!F4</f>
        <v>45016</v>
      </c>
      <c r="G4" s="93">
        <f>BS!G4</f>
        <v>45382</v>
      </c>
      <c r="H4" s="93">
        <f>BS!H4</f>
        <v>45747</v>
      </c>
      <c r="I4" s="93">
        <f>BS!I4</f>
        <v>46112</v>
      </c>
      <c r="J4" s="93">
        <f>BS!J4</f>
        <v>46477</v>
      </c>
      <c r="K4" s="93">
        <f>BS!K4</f>
        <v>46843</v>
      </c>
      <c r="L4" s="93">
        <f>BS!L4</f>
        <v>47208</v>
      </c>
      <c r="M4" s="93">
        <f>BS!M4</f>
        <v>47573</v>
      </c>
    </row>
    <row r="5" spans="2:13">
      <c r="B5" s="2" t="s">
        <v>368</v>
      </c>
      <c r="D5" s="2">
        <f t="array" ref="D5:M5">TRANSPOSE(Assumptions!I64:I73)</f>
        <v>1</v>
      </c>
      <c r="E5" s="2">
        <v>1</v>
      </c>
      <c r="F5" s="2">
        <v>1</v>
      </c>
      <c r="G5" s="2">
        <v>1</v>
      </c>
      <c r="H5" s="2">
        <v>1</v>
      </c>
      <c r="I5" s="2">
        <v>1</v>
      </c>
      <c r="J5" s="2">
        <v>1</v>
      </c>
      <c r="K5" s="2">
        <v>1</v>
      </c>
      <c r="L5" s="2">
        <v>1</v>
      </c>
      <c r="M5" s="2">
        <v>0.25</v>
      </c>
    </row>
    <row r="6" spans="2:13">
      <c r="B6" s="2" t="s">
        <v>56</v>
      </c>
      <c r="D6" s="27">
        <f>PL!D43*D5</f>
        <v>-1.3533471197719074</v>
      </c>
      <c r="E6" s="27">
        <f>PL!E43*E5</f>
        <v>34.515815085530249</v>
      </c>
      <c r="F6" s="27">
        <f>PL!F43*F5</f>
        <v>58.680269357067161</v>
      </c>
      <c r="G6" s="27">
        <f>PL!G43*G5</f>
        <v>84.091966587004279</v>
      </c>
      <c r="H6" s="27">
        <f>PL!H43*H5</f>
        <v>109.26155181358834</v>
      </c>
      <c r="I6" s="27">
        <f>PL!I43*I5</f>
        <v>134.16877063313953</v>
      </c>
      <c r="J6" s="27">
        <f>PL!J43*J5</f>
        <v>134.11738372732046</v>
      </c>
      <c r="K6" s="27">
        <f>PL!K43*K5</f>
        <v>130.99781044059117</v>
      </c>
      <c r="L6" s="27">
        <f>PL!L43*L5</f>
        <v>127.43702905658182</v>
      </c>
      <c r="M6" s="253">
        <f>PL!M43*M5</f>
        <v>30.800495184999924</v>
      </c>
    </row>
    <row r="7" spans="2:13">
      <c r="B7" s="2" t="s">
        <v>49</v>
      </c>
      <c r="D7" s="27">
        <f>PL!D33</f>
        <v>2.4055545342718996</v>
      </c>
      <c r="E7" s="27">
        <f>PL!E33</f>
        <v>9.6222181370875983</v>
      </c>
      <c r="F7" s="27">
        <f>PL!F33</f>
        <v>9.6222181370875983</v>
      </c>
      <c r="G7" s="27">
        <f>PL!G33</f>
        <v>9.6222181370875983</v>
      </c>
      <c r="H7" s="27">
        <f>PL!H33</f>
        <v>9.6222181370875983</v>
      </c>
      <c r="I7" s="27">
        <f>PL!I33</f>
        <v>9.6222181370875983</v>
      </c>
      <c r="J7" s="27">
        <f>PL!J33</f>
        <v>9.6222181370875983</v>
      </c>
      <c r="K7" s="27">
        <f>PL!K33</f>
        <v>9.4690032245449363</v>
      </c>
      <c r="L7" s="27">
        <f>PL!L33</f>
        <v>9.4579796359499415</v>
      </c>
      <c r="M7" s="253">
        <f>PL!M33*M5</f>
        <v>2.3644949089874854</v>
      </c>
    </row>
    <row r="8" spans="2:13">
      <c r="B8" s="2" t="s">
        <v>157</v>
      </c>
      <c r="D8" s="27">
        <f>PL!D42</f>
        <v>0</v>
      </c>
      <c r="E8" s="27">
        <f>PL!E42</f>
        <v>5.0563682004642612</v>
      </c>
      <c r="F8" s="27">
        <f>PL!F42</f>
        <v>1.7934678695461876</v>
      </c>
      <c r="G8" s="27">
        <f>PL!G42</f>
        <v>1.1436815081264804</v>
      </c>
      <c r="H8" s="27">
        <f>PL!H42</f>
        <v>0.60298431679610331</v>
      </c>
      <c r="I8" s="27">
        <f>PL!I42</f>
        <v>0.14792856104079277</v>
      </c>
      <c r="J8" s="27">
        <f>PL!J42</f>
        <v>-0.2371545551285692</v>
      </c>
      <c r="K8" s="27">
        <f>PL!K42</f>
        <v>-0.52531878406951904</v>
      </c>
      <c r="L8" s="27">
        <f>PL!L42</f>
        <v>-0.80010418334376965</v>
      </c>
      <c r="M8" s="253">
        <f>PL!M42*M5</f>
        <v>-0.25901014293576452</v>
      </c>
    </row>
    <row r="9" spans="2:13">
      <c r="B9" s="2" t="s">
        <v>369</v>
      </c>
      <c r="D9" s="27">
        <f>PL!D36</f>
        <v>2.875</v>
      </c>
      <c r="E9" s="27">
        <f>PL!E36</f>
        <v>11.095703124999998</v>
      </c>
      <c r="F9" s="27">
        <f>PL!F36</f>
        <v>9.7031249999999947</v>
      </c>
      <c r="G9" s="27">
        <f>PL!G36</f>
        <v>8.2656249999999876</v>
      </c>
      <c r="H9" s="27">
        <f>PL!H36</f>
        <v>6.8281249999999822</v>
      </c>
      <c r="I9" s="27">
        <f>PL!I36</f>
        <v>5.3906249999999813</v>
      </c>
      <c r="J9" s="27">
        <f>PL!J36</f>
        <v>3.9531249999999845</v>
      </c>
      <c r="K9" s="27">
        <f>PL!K36</f>
        <v>2.5156249999999867</v>
      </c>
      <c r="L9" s="27">
        <f>PL!L36</f>
        <v>1.0781249999999853</v>
      </c>
      <c r="M9" s="27">
        <f>PL!M36</f>
        <v>4.4921874999985595E-2</v>
      </c>
    </row>
    <row r="10" spans="2:13">
      <c r="B10" s="121" t="s">
        <v>161</v>
      </c>
      <c r="C10" s="121"/>
      <c r="D10" s="145">
        <f>SUM(D6:D9)</f>
        <v>3.9272074144999922</v>
      </c>
      <c r="E10" s="145">
        <f t="shared" ref="E10:M10" si="0">SUM(E6:E9)</f>
        <v>60.290104548082113</v>
      </c>
      <c r="F10" s="145">
        <f t="shared" si="0"/>
        <v>79.799080363700952</v>
      </c>
      <c r="G10" s="145">
        <f t="shared" si="0"/>
        <v>103.12349123221834</v>
      </c>
      <c r="H10" s="145">
        <f t="shared" si="0"/>
        <v>126.31487926747202</v>
      </c>
      <c r="I10" s="145">
        <f t="shared" si="0"/>
        <v>149.3295423312679</v>
      </c>
      <c r="J10" s="145">
        <f t="shared" si="0"/>
        <v>147.45557230927946</v>
      </c>
      <c r="K10" s="145">
        <f t="shared" si="0"/>
        <v>142.45711988106657</v>
      </c>
      <c r="L10" s="145">
        <f t="shared" si="0"/>
        <v>137.17302950918798</v>
      </c>
      <c r="M10" s="145">
        <f t="shared" si="0"/>
        <v>32.950901826051634</v>
      </c>
    </row>
    <row r="11" spans="2:13">
      <c r="B11" s="2" t="s">
        <v>370</v>
      </c>
      <c r="D11" s="27">
        <f>'Capex, Debt'!E110</f>
        <v>0</v>
      </c>
      <c r="E11" s="27">
        <f>'Capex, Debt'!F110</f>
        <v>10.781249999999996</v>
      </c>
      <c r="F11" s="27">
        <f>'Capex, Debt'!G110</f>
        <v>14.374999999999995</v>
      </c>
      <c r="G11" s="27">
        <f>'Capex, Debt'!H110</f>
        <v>14.374999999999995</v>
      </c>
      <c r="H11" s="27">
        <f>'Capex, Debt'!I110</f>
        <v>14.374999999999995</v>
      </c>
      <c r="I11" s="27">
        <f>'Capex, Debt'!J110</f>
        <v>14.374999999999995</v>
      </c>
      <c r="J11" s="27">
        <f>'Capex, Debt'!K110</f>
        <v>14.374999999999995</v>
      </c>
      <c r="K11" s="27">
        <f>'Capex, Debt'!L110</f>
        <v>14.374999999999995</v>
      </c>
      <c r="L11" s="27">
        <f>'Capex, Debt'!M110</f>
        <v>14.374999999999995</v>
      </c>
      <c r="M11" s="27">
        <f>'Capex, Debt'!N110</f>
        <v>3.5937499999999996</v>
      </c>
    </row>
    <row r="12" spans="2:13">
      <c r="B12" s="2" t="s">
        <v>45</v>
      </c>
      <c r="D12" s="27">
        <f>D9</f>
        <v>2.875</v>
      </c>
      <c r="E12" s="27">
        <f t="shared" ref="E12:M12" si="1">E9</f>
        <v>11.095703124999998</v>
      </c>
      <c r="F12" s="27">
        <f t="shared" si="1"/>
        <v>9.7031249999999947</v>
      </c>
      <c r="G12" s="27">
        <f t="shared" si="1"/>
        <v>8.2656249999999876</v>
      </c>
      <c r="H12" s="27">
        <f t="shared" si="1"/>
        <v>6.8281249999999822</v>
      </c>
      <c r="I12" s="27">
        <f t="shared" si="1"/>
        <v>5.3906249999999813</v>
      </c>
      <c r="J12" s="27">
        <f t="shared" si="1"/>
        <v>3.9531249999999845</v>
      </c>
      <c r="K12" s="27">
        <f t="shared" si="1"/>
        <v>2.5156249999999867</v>
      </c>
      <c r="L12" s="27">
        <f t="shared" si="1"/>
        <v>1.0781249999999853</v>
      </c>
      <c r="M12" s="27">
        <f t="shared" si="1"/>
        <v>4.4921874999985595E-2</v>
      </c>
    </row>
    <row r="13" spans="2:13">
      <c r="B13" s="121" t="s">
        <v>165</v>
      </c>
      <c r="C13" s="121"/>
      <c r="D13" s="145">
        <f>D11+D12</f>
        <v>2.875</v>
      </c>
      <c r="E13" s="145">
        <f t="shared" ref="E13:M13" si="2">E11+E12</f>
        <v>21.876953124999993</v>
      </c>
      <c r="F13" s="145">
        <f t="shared" si="2"/>
        <v>24.078124999999989</v>
      </c>
      <c r="G13" s="145">
        <f t="shared" si="2"/>
        <v>22.640624999999982</v>
      </c>
      <c r="H13" s="145">
        <f t="shared" si="2"/>
        <v>21.203124999999979</v>
      </c>
      <c r="I13" s="145">
        <f t="shared" si="2"/>
        <v>19.765624999999975</v>
      </c>
      <c r="J13" s="145">
        <f t="shared" si="2"/>
        <v>18.328124999999979</v>
      </c>
      <c r="K13" s="145">
        <f t="shared" si="2"/>
        <v>16.890624999999982</v>
      </c>
      <c r="L13" s="145">
        <f t="shared" si="2"/>
        <v>15.45312499999998</v>
      </c>
      <c r="M13" s="145">
        <f t="shared" si="2"/>
        <v>3.6386718749999853</v>
      </c>
    </row>
    <row r="14" spans="2:13">
      <c r="B14" s="121" t="s">
        <v>172</v>
      </c>
      <c r="C14" s="121"/>
      <c r="D14" s="124">
        <f>D10/D13</f>
        <v>1.3659851876521711</v>
      </c>
      <c r="E14" s="124">
        <f t="shared" ref="E14:M14" si="3">E10/E13</f>
        <v>2.7558730049654541</v>
      </c>
      <c r="F14" s="124">
        <f t="shared" si="3"/>
        <v>3.3141733570907612</v>
      </c>
      <c r="G14" s="124">
        <f t="shared" si="3"/>
        <v>4.5547987845838369</v>
      </c>
      <c r="H14" s="124">
        <f t="shared" si="3"/>
        <v>5.9573708718630929</v>
      </c>
      <c r="I14" s="124">
        <f t="shared" si="3"/>
        <v>7.5550124183408363</v>
      </c>
      <c r="J14" s="124">
        <f t="shared" si="3"/>
        <v>8.0453168182386161</v>
      </c>
      <c r="K14" s="124">
        <f t="shared" si="3"/>
        <v>8.434094054013201</v>
      </c>
      <c r="L14" s="124">
        <f t="shared" si="3"/>
        <v>8.8767177842144012</v>
      </c>
      <c r="M14" s="124">
        <f t="shared" si="3"/>
        <v>9.0557497235311359</v>
      </c>
    </row>
    <row r="15" spans="2:13">
      <c r="B15" s="169" t="s">
        <v>173</v>
      </c>
      <c r="C15" s="196">
        <f>SUM(D10:M10)/SUM(D13:M13)</f>
        <v>5.8939785828055653</v>
      </c>
      <c r="D15" s="187"/>
      <c r="E15" s="170"/>
      <c r="F15" s="170"/>
      <c r="G15" s="170"/>
      <c r="H15" s="170"/>
      <c r="I15" s="170"/>
      <c r="J15" s="170"/>
      <c r="K15" s="170"/>
      <c r="L15" s="170"/>
      <c r="M15" s="170"/>
    </row>
    <row r="16" spans="2:13">
      <c r="B16" s="172" t="s">
        <v>174</v>
      </c>
      <c r="C16" s="144">
        <f>MIN(D14:M14)</f>
        <v>1.3659851876521711</v>
      </c>
      <c r="D16" s="188"/>
      <c r="E16" s="44"/>
      <c r="F16" s="44"/>
      <c r="G16" s="44"/>
      <c r="H16" s="44"/>
      <c r="I16" s="44"/>
      <c r="J16" s="44"/>
      <c r="K16" s="44"/>
      <c r="L16" s="44"/>
      <c r="M16" s="44"/>
    </row>
    <row r="18" spans="2:13">
      <c r="B18" s="37" t="s">
        <v>371</v>
      </c>
    </row>
    <row r="20" spans="2:13">
      <c r="B20" s="37" t="s">
        <v>69</v>
      </c>
      <c r="C20" s="93"/>
      <c r="D20" s="93">
        <f t="shared" ref="D20:M20" si="4">D4</f>
        <v>44286</v>
      </c>
      <c r="E20" s="93">
        <f t="shared" si="4"/>
        <v>44651</v>
      </c>
      <c r="F20" s="93">
        <f t="shared" si="4"/>
        <v>45016</v>
      </c>
      <c r="G20" s="93">
        <f t="shared" si="4"/>
        <v>45382</v>
      </c>
      <c r="H20" s="93">
        <f t="shared" si="4"/>
        <v>45747</v>
      </c>
      <c r="I20" s="93">
        <f t="shared" si="4"/>
        <v>46112</v>
      </c>
      <c r="J20" s="93">
        <f t="shared" si="4"/>
        <v>46477</v>
      </c>
      <c r="K20" s="93">
        <f t="shared" si="4"/>
        <v>46843</v>
      </c>
      <c r="L20" s="93">
        <f t="shared" si="4"/>
        <v>47208</v>
      </c>
      <c r="M20" s="93">
        <f t="shared" si="4"/>
        <v>47573</v>
      </c>
    </row>
    <row r="21" spans="2:13">
      <c r="B21" s="120" t="s">
        <v>373</v>
      </c>
    </row>
    <row r="22" spans="2:13">
      <c r="B22" s="2" t="s">
        <v>197</v>
      </c>
      <c r="D22" s="89">
        <f>CF!D14</f>
        <v>151.99583333333334</v>
      </c>
      <c r="E22" s="89">
        <f>CF!E14</f>
        <v>0</v>
      </c>
      <c r="F22" s="89">
        <f>CF!F14</f>
        <v>0</v>
      </c>
      <c r="G22" s="89">
        <f>CF!G14</f>
        <v>0</v>
      </c>
      <c r="H22" s="89">
        <f>CF!H14</f>
        <v>0</v>
      </c>
      <c r="I22" s="89">
        <f>CF!I14</f>
        <v>0</v>
      </c>
      <c r="J22" s="89">
        <f>CF!J14</f>
        <v>0</v>
      </c>
      <c r="K22" s="89">
        <f>CF!K14</f>
        <v>0</v>
      </c>
      <c r="L22" s="89">
        <f>CF!L14</f>
        <v>0</v>
      </c>
      <c r="M22" s="89">
        <f>CF!M14</f>
        <v>0</v>
      </c>
    </row>
    <row r="23" spans="2:13">
      <c r="B23" s="121" t="s">
        <v>165</v>
      </c>
      <c r="C23" s="121"/>
      <c r="D23" s="145">
        <f>D22</f>
        <v>151.99583333333334</v>
      </c>
      <c r="E23" s="145">
        <f t="shared" ref="E23:M23" si="5">E22</f>
        <v>0</v>
      </c>
      <c r="F23" s="145">
        <f t="shared" si="5"/>
        <v>0</v>
      </c>
      <c r="G23" s="145">
        <f t="shared" si="5"/>
        <v>0</v>
      </c>
      <c r="H23" s="145">
        <f t="shared" si="5"/>
        <v>0</v>
      </c>
      <c r="I23" s="145">
        <f t="shared" si="5"/>
        <v>0</v>
      </c>
      <c r="J23" s="145">
        <f t="shared" si="5"/>
        <v>0</v>
      </c>
      <c r="K23" s="145">
        <f t="shared" si="5"/>
        <v>0</v>
      </c>
      <c r="L23" s="145">
        <f t="shared" si="5"/>
        <v>0</v>
      </c>
      <c r="M23" s="145">
        <f t="shared" si="5"/>
        <v>0</v>
      </c>
    </row>
    <row r="24" spans="2:13">
      <c r="B24" s="120" t="s">
        <v>372</v>
      </c>
    </row>
    <row r="25" spans="2:13">
      <c r="B25" s="2" t="s">
        <v>56</v>
      </c>
      <c r="D25" s="27">
        <f>PL!D43</f>
        <v>-1.3533471197719074</v>
      </c>
      <c r="E25" s="27">
        <f>PL!E43</f>
        <v>34.515815085530249</v>
      </c>
      <c r="F25" s="27">
        <f>PL!F43</f>
        <v>58.680269357067161</v>
      </c>
      <c r="G25" s="27">
        <f>PL!G43</f>
        <v>84.091966587004279</v>
      </c>
      <c r="H25" s="27">
        <f>PL!H43</f>
        <v>109.26155181358834</v>
      </c>
      <c r="I25" s="27">
        <f>PL!I43</f>
        <v>134.16877063313953</v>
      </c>
      <c r="J25" s="27">
        <f>PL!J43</f>
        <v>134.11738372732046</v>
      </c>
      <c r="K25" s="27">
        <f>PL!K43</f>
        <v>130.99781044059117</v>
      </c>
      <c r="L25" s="27">
        <f>PL!L43</f>
        <v>127.43702905658182</v>
      </c>
      <c r="M25" s="27">
        <f>PL!M43</f>
        <v>123.2019807399997</v>
      </c>
    </row>
    <row r="26" spans="2:13">
      <c r="B26" s="2" t="s">
        <v>49</v>
      </c>
      <c r="D26" s="27">
        <f>PL!D33</f>
        <v>2.4055545342718996</v>
      </c>
      <c r="E26" s="27">
        <f>PL!E33</f>
        <v>9.6222181370875983</v>
      </c>
      <c r="F26" s="27">
        <f>PL!F33</f>
        <v>9.6222181370875983</v>
      </c>
      <c r="G26" s="27">
        <f>PL!G33</f>
        <v>9.6222181370875983</v>
      </c>
      <c r="H26" s="27">
        <f>PL!H33</f>
        <v>9.6222181370875983</v>
      </c>
      <c r="I26" s="27">
        <f>PL!I33</f>
        <v>9.6222181370875983</v>
      </c>
      <c r="J26" s="27">
        <f>PL!J33</f>
        <v>9.6222181370875983</v>
      </c>
      <c r="K26" s="27">
        <f>PL!K33</f>
        <v>9.4690032245449363</v>
      </c>
      <c r="L26" s="27">
        <f>PL!L33</f>
        <v>9.4579796359499415</v>
      </c>
      <c r="M26" s="27">
        <f>PL!M33</f>
        <v>9.4579796359499415</v>
      </c>
    </row>
    <row r="27" spans="2:13">
      <c r="B27" s="2" t="s">
        <v>157</v>
      </c>
      <c r="D27" s="27">
        <f>PL!D42</f>
        <v>0</v>
      </c>
      <c r="E27" s="27">
        <f>PL!E42</f>
        <v>5.0563682004642612</v>
      </c>
      <c r="F27" s="27">
        <f>PL!F42</f>
        <v>1.7934678695461876</v>
      </c>
      <c r="G27" s="27">
        <f>PL!G42</f>
        <v>1.1436815081264804</v>
      </c>
      <c r="H27" s="27">
        <f>PL!H42</f>
        <v>0.60298431679610331</v>
      </c>
      <c r="I27" s="27">
        <f>PL!I42</f>
        <v>0.14792856104079277</v>
      </c>
      <c r="J27" s="27">
        <f>PL!J42</f>
        <v>-0.2371545551285692</v>
      </c>
      <c r="K27" s="27">
        <f>PL!K42</f>
        <v>-0.52531878406951904</v>
      </c>
      <c r="L27" s="27">
        <f>PL!L42</f>
        <v>-0.80010418334376965</v>
      </c>
      <c r="M27" s="27">
        <f>PL!M42</f>
        <v>-1.0360405717430581</v>
      </c>
    </row>
    <row r="28" spans="2:13">
      <c r="B28" s="2" t="s">
        <v>426</v>
      </c>
      <c r="D28" s="27">
        <f>PL!D36*(1-Assumptions!$D$148)</f>
        <v>2.1514199999999999</v>
      </c>
      <c r="E28" s="27">
        <f>PL!E36*(1-Assumptions!$D$148)</f>
        <v>8.3031365624999989</v>
      </c>
      <c r="F28" s="27">
        <f>PL!F36*(1-Assumptions!$D$148)</f>
        <v>7.2610424999999958</v>
      </c>
      <c r="G28" s="27">
        <f>PL!G36*(1-Assumptions!$D$148)</f>
        <v>6.1853324999999906</v>
      </c>
      <c r="H28" s="27">
        <f>PL!H36*(1-Assumptions!$D$148)</f>
        <v>5.1096224999999862</v>
      </c>
      <c r="I28" s="27">
        <f>PL!I36*(1-Assumptions!$D$148)</f>
        <v>4.0339124999999862</v>
      </c>
      <c r="J28" s="27">
        <f>PL!J36*(1-Assumptions!$D$148)</f>
        <v>2.9582024999999885</v>
      </c>
      <c r="K28" s="27">
        <f>PL!K36*(1-Assumptions!$D$148)</f>
        <v>1.8824924999999899</v>
      </c>
      <c r="L28" s="27">
        <f>PL!L36*(1-Assumptions!$D$148)</f>
        <v>0.80678249999998897</v>
      </c>
      <c r="M28" s="27">
        <f>PL!M36*(1-Assumptions!$D$148)</f>
        <v>3.3615937499989222E-2</v>
      </c>
    </row>
    <row r="29" spans="2:13">
      <c r="B29" s="2" t="s">
        <v>374</v>
      </c>
      <c r="D29" s="27"/>
      <c r="E29" s="27"/>
      <c r="F29" s="27"/>
      <c r="G29" s="27"/>
      <c r="H29" s="27"/>
      <c r="I29" s="27"/>
      <c r="J29" s="27"/>
      <c r="K29" s="27"/>
      <c r="L29" s="27"/>
      <c r="M29" s="253">
        <f>BS!M22</f>
        <v>63.472007480091023</v>
      </c>
    </row>
    <row r="30" spans="2:13">
      <c r="B30" s="121" t="s">
        <v>161</v>
      </c>
      <c r="C30" s="121"/>
      <c r="D30" s="145">
        <f t="shared" ref="D30:L30" si="6">SUM(D25:D29)</f>
        <v>3.2036274144999921</v>
      </c>
      <c r="E30" s="145">
        <f t="shared" si="6"/>
        <v>57.497537985582113</v>
      </c>
      <c r="F30" s="145">
        <f t="shared" si="6"/>
        <v>77.356997863700954</v>
      </c>
      <c r="G30" s="145">
        <f t="shared" si="6"/>
        <v>101.04319873221834</v>
      </c>
      <c r="H30" s="145">
        <f t="shared" si="6"/>
        <v>124.59637676747202</v>
      </c>
      <c r="I30" s="145">
        <f t="shared" si="6"/>
        <v>147.97282983126792</v>
      </c>
      <c r="J30" s="145">
        <f t="shared" si="6"/>
        <v>146.46064980927949</v>
      </c>
      <c r="K30" s="145">
        <f t="shared" si="6"/>
        <v>141.82398738106656</v>
      </c>
      <c r="L30" s="145">
        <f t="shared" si="6"/>
        <v>136.90168700918801</v>
      </c>
      <c r="M30" s="145">
        <f>SUM(M25:M29)</f>
        <v>195.12954322179763</v>
      </c>
    </row>
    <row r="31" spans="2:13">
      <c r="B31" s="2" t="s">
        <v>376</v>
      </c>
      <c r="D31" s="27">
        <f>D30-D23</f>
        <v>-148.79220591883333</v>
      </c>
      <c r="E31" s="27">
        <f t="shared" ref="E31:M31" si="7">E30-E23</f>
        <v>57.497537985582113</v>
      </c>
      <c r="F31" s="27">
        <f t="shared" si="7"/>
        <v>77.356997863700954</v>
      </c>
      <c r="G31" s="27">
        <f t="shared" si="7"/>
        <v>101.04319873221834</v>
      </c>
      <c r="H31" s="27">
        <f t="shared" si="7"/>
        <v>124.59637676747202</v>
      </c>
      <c r="I31" s="27">
        <f t="shared" si="7"/>
        <v>147.97282983126792</v>
      </c>
      <c r="J31" s="27">
        <f t="shared" si="7"/>
        <v>146.46064980927949</v>
      </c>
      <c r="K31" s="27">
        <f t="shared" si="7"/>
        <v>141.82398738106656</v>
      </c>
      <c r="L31" s="27">
        <f t="shared" si="7"/>
        <v>136.90168700918801</v>
      </c>
      <c r="M31" s="27">
        <f t="shared" si="7"/>
        <v>195.12954322179763</v>
      </c>
    </row>
    <row r="32" spans="2:13">
      <c r="B32" s="172" t="s">
        <v>375</v>
      </c>
      <c r="C32" s="309">
        <f>IRR(D31:M31,10%)</f>
        <v>0.58365601554675961</v>
      </c>
      <c r="D32" s="190"/>
      <c r="E32" s="190"/>
      <c r="F32" s="190"/>
      <c r="G32" s="190"/>
      <c r="H32" s="190"/>
      <c r="I32" s="190"/>
      <c r="J32" s="190"/>
      <c r="K32" s="190"/>
      <c r="L32" s="190"/>
      <c r="M32" s="190"/>
    </row>
    <row r="34" spans="2:13">
      <c r="B34" s="37" t="s">
        <v>485</v>
      </c>
    </row>
    <row r="36" spans="2:13" ht="28">
      <c r="B36" s="37" t="s">
        <v>400</v>
      </c>
      <c r="C36" s="37"/>
      <c r="D36" s="37" t="s">
        <v>82</v>
      </c>
      <c r="E36" s="37" t="s">
        <v>401</v>
      </c>
      <c r="F36" s="37" t="s">
        <v>402</v>
      </c>
      <c r="G36" s="112" t="s">
        <v>403</v>
      </c>
      <c r="H36" s="37" t="s">
        <v>404</v>
      </c>
    </row>
    <row r="37" spans="2:13">
      <c r="B37" s="2" t="s">
        <v>15</v>
      </c>
      <c r="D37" s="26">
        <f>Assumptions!E33</f>
        <v>43.186240633333341</v>
      </c>
      <c r="E37" s="26">
        <f>D37/$D$40</f>
        <v>0.24236574316757026</v>
      </c>
      <c r="F37" s="307">
        <v>0.15</v>
      </c>
      <c r="G37" s="49">
        <f>F37</f>
        <v>0.15</v>
      </c>
      <c r="H37" s="197">
        <f>G37*E37</f>
        <v>3.6354861475135537E-2</v>
      </c>
    </row>
    <row r="38" spans="2:13">
      <c r="B38" s="2" t="s">
        <v>263</v>
      </c>
      <c r="D38" s="26">
        <f>Assumptions!E34</f>
        <v>20</v>
      </c>
      <c r="E38" s="26">
        <f t="shared" ref="E38:E39" si="8">D38/$D$40</f>
        <v>0.11224211212332293</v>
      </c>
      <c r="F38" s="307">
        <v>0.15</v>
      </c>
      <c r="G38" s="49">
        <f>F38</f>
        <v>0.15</v>
      </c>
      <c r="H38" s="197">
        <f t="shared" ref="H38:H39" si="9">G38*E38</f>
        <v>1.683631681849844E-2</v>
      </c>
    </row>
    <row r="39" spans="2:13">
      <c r="B39" s="2" t="s">
        <v>405</v>
      </c>
      <c r="D39" s="26">
        <f>Assumptions!E35</f>
        <v>115</v>
      </c>
      <c r="E39" s="26">
        <f t="shared" si="8"/>
        <v>0.64539214470910677</v>
      </c>
      <c r="F39" s="161">
        <f>Assumptions!E43</f>
        <v>0.1</v>
      </c>
      <c r="G39" s="197">
        <f>F39*(1-Assumptions!D148)</f>
        <v>7.4831999999999996E-2</v>
      </c>
      <c r="H39" s="197">
        <f t="shared" si="9"/>
        <v>4.8295984972871873E-2</v>
      </c>
    </row>
    <row r="40" spans="2:13">
      <c r="B40" s="81"/>
      <c r="C40" s="81"/>
      <c r="D40" s="123">
        <f>SUM(D37:D39)</f>
        <v>178.18624063333334</v>
      </c>
      <c r="E40" s="81"/>
      <c r="F40" s="81"/>
      <c r="G40" s="81"/>
      <c r="H40" s="308">
        <f>SUM(H37:H39)</f>
        <v>0.10148716326650585</v>
      </c>
    </row>
    <row r="42" spans="2:13">
      <c r="B42" s="81" t="s">
        <v>406</v>
      </c>
      <c r="C42" s="198">
        <f>C32-H40</f>
        <v>0.48216885228025375</v>
      </c>
    </row>
    <row r="45" spans="2:13">
      <c r="B45" s="37" t="s">
        <v>397</v>
      </c>
    </row>
    <row r="47" spans="2:13">
      <c r="B47" s="37" t="s">
        <v>381</v>
      </c>
      <c r="C47" s="93"/>
      <c r="D47" s="93">
        <f>D20</f>
        <v>44286</v>
      </c>
      <c r="E47" s="93">
        <f t="shared" ref="E47:M47" si="10">E20</f>
        <v>44651</v>
      </c>
      <c r="F47" s="93">
        <f t="shared" si="10"/>
        <v>45016</v>
      </c>
      <c r="G47" s="93">
        <f t="shared" si="10"/>
        <v>45382</v>
      </c>
      <c r="H47" s="93">
        <f t="shared" si="10"/>
        <v>45747</v>
      </c>
      <c r="I47" s="93">
        <f t="shared" si="10"/>
        <v>46112</v>
      </c>
      <c r="J47" s="93">
        <f t="shared" si="10"/>
        <v>46477</v>
      </c>
      <c r="K47" s="93">
        <f t="shared" si="10"/>
        <v>46843</v>
      </c>
      <c r="L47" s="93">
        <f t="shared" si="10"/>
        <v>47208</v>
      </c>
      <c r="M47" s="93">
        <f t="shared" si="10"/>
        <v>47573</v>
      </c>
    </row>
    <row r="48" spans="2:13">
      <c r="B48" s="2" t="s">
        <v>398</v>
      </c>
      <c r="D48" s="2">
        <f>CoP!E5</f>
        <v>3</v>
      </c>
      <c r="E48" s="2">
        <f>CoP!F5</f>
        <v>12</v>
      </c>
      <c r="F48" s="2">
        <f>CoP!G5</f>
        <v>12</v>
      </c>
      <c r="G48" s="2">
        <f>CoP!H5</f>
        <v>12</v>
      </c>
      <c r="H48" s="2">
        <f>CoP!I5</f>
        <v>12</v>
      </c>
      <c r="I48" s="2">
        <f>CoP!J5</f>
        <v>12</v>
      </c>
      <c r="J48" s="2">
        <f>CoP!K5</f>
        <v>12</v>
      </c>
      <c r="K48" s="2">
        <f>CoP!L5</f>
        <v>12</v>
      </c>
      <c r="L48" s="2">
        <f>CoP!M5</f>
        <v>12</v>
      </c>
      <c r="M48" s="2">
        <f>CoP!N5</f>
        <v>12</v>
      </c>
    </row>
    <row r="49" spans="2:13">
      <c r="B49" s="121" t="s">
        <v>382</v>
      </c>
      <c r="C49" s="121"/>
      <c r="D49" s="145">
        <f>PL!D10</f>
        <v>160.89192</v>
      </c>
      <c r="E49" s="145">
        <f>PL!E10</f>
        <v>984.71645999999998</v>
      </c>
      <c r="F49" s="145">
        <f>PL!F10</f>
        <v>1259.87652</v>
      </c>
      <c r="G49" s="145">
        <f>PL!G10</f>
        <v>1543.6990800000003</v>
      </c>
      <c r="H49" s="145">
        <f>PL!H10</f>
        <v>1827.5216399999999</v>
      </c>
      <c r="I49" s="145">
        <f>PL!I10</f>
        <v>2111.3442</v>
      </c>
      <c r="J49" s="145">
        <f>PL!J10</f>
        <v>2128.6691999999998</v>
      </c>
      <c r="K49" s="145">
        <f>PL!K10</f>
        <v>2128.6691999999998</v>
      </c>
      <c r="L49" s="145">
        <f>PL!L10</f>
        <v>2128.6691999999998</v>
      </c>
      <c r="M49" s="145">
        <f>PL!M10</f>
        <v>2128.6691999999998</v>
      </c>
    </row>
    <row r="50" spans="2:13">
      <c r="B50" s="121" t="s">
        <v>383</v>
      </c>
      <c r="C50" s="81"/>
      <c r="D50" s="145">
        <f>SUM(D51:D58)</f>
        <v>138.06795498550002</v>
      </c>
      <c r="E50" s="145">
        <f t="shared" ref="E50:M50" si="11">SUM(E51:E58)</f>
        <v>828.33863948899989</v>
      </c>
      <c r="F50" s="145">
        <f t="shared" si="11"/>
        <v>1060.3551702554998</v>
      </c>
      <c r="G50" s="145">
        <f t="shared" si="11"/>
        <v>1298.8540388238755</v>
      </c>
      <c r="H50" s="145">
        <f t="shared" si="11"/>
        <v>1537.3531388779688</v>
      </c>
      <c r="I50" s="145">
        <f t="shared" si="11"/>
        <v>1775.8524814558173</v>
      </c>
      <c r="J50" s="145">
        <f t="shared" si="11"/>
        <v>1788.8221802397331</v>
      </c>
      <c r="K50" s="145">
        <f t="shared" si="11"/>
        <v>1788.8279113878573</v>
      </c>
      <c r="L50" s="145">
        <f t="shared" si="11"/>
        <v>1788.8339212421515</v>
      </c>
      <c r="M50" s="145">
        <f t="shared" si="11"/>
        <v>1788.8402229528003</v>
      </c>
    </row>
    <row r="51" spans="2:13">
      <c r="B51" s="2" t="s">
        <v>384</v>
      </c>
      <c r="D51" s="26">
        <f>PL!D14</f>
        <v>110.37600000000002</v>
      </c>
      <c r="E51" s="26">
        <f>PL!E14</f>
        <v>515.08799999999997</v>
      </c>
      <c r="F51" s="26">
        <f>PL!F14</f>
        <v>662.25599999999997</v>
      </c>
      <c r="G51" s="26">
        <f>PL!G14</f>
        <v>809.42400000000021</v>
      </c>
      <c r="H51" s="26">
        <f>PL!H14</f>
        <v>956.59199999999998</v>
      </c>
      <c r="I51" s="26">
        <f>PL!I14</f>
        <v>1103.7600000000002</v>
      </c>
      <c r="J51" s="26">
        <f>PL!J14</f>
        <v>1103.7600000000002</v>
      </c>
      <c r="K51" s="26">
        <f>PL!K14</f>
        <v>1103.7600000000002</v>
      </c>
      <c r="L51" s="26">
        <f>PL!L14</f>
        <v>1103.7600000000002</v>
      </c>
      <c r="M51" s="26">
        <f>PL!M14</f>
        <v>1103.7600000000002</v>
      </c>
    </row>
    <row r="52" spans="2:13">
      <c r="B52" s="173" t="s">
        <v>289</v>
      </c>
      <c r="D52" s="26">
        <f>PL!D15</f>
        <v>45.738</v>
      </c>
      <c r="E52" s="26">
        <f>PL!E15</f>
        <v>213.44399999999999</v>
      </c>
      <c r="F52" s="26">
        <f>PL!F15</f>
        <v>274.428</v>
      </c>
      <c r="G52" s="26">
        <f>PL!G15</f>
        <v>335.41200000000003</v>
      </c>
      <c r="H52" s="26">
        <f>PL!H15</f>
        <v>396.39600000000002</v>
      </c>
      <c r="I52" s="26">
        <f>PL!I15</f>
        <v>457.38</v>
      </c>
      <c r="J52" s="26">
        <f>PL!J15</f>
        <v>457.38</v>
      </c>
      <c r="K52" s="26">
        <f>PL!K15</f>
        <v>457.38</v>
      </c>
      <c r="L52" s="26">
        <f>PL!L15</f>
        <v>457.38</v>
      </c>
      <c r="M52" s="26">
        <f>PL!M15</f>
        <v>457.38</v>
      </c>
    </row>
    <row r="53" spans="2:13">
      <c r="B53" s="173" t="s">
        <v>83</v>
      </c>
      <c r="D53" s="26">
        <f>PL!D16</f>
        <v>5.1840000000000002</v>
      </c>
      <c r="E53" s="26">
        <f>PL!E16</f>
        <v>24.192</v>
      </c>
      <c r="F53" s="26">
        <f>PL!F16</f>
        <v>31.103999999999999</v>
      </c>
      <c r="G53" s="26">
        <f>PL!G16</f>
        <v>38.016000000000005</v>
      </c>
      <c r="H53" s="26">
        <f>PL!H16</f>
        <v>44.927999999999997</v>
      </c>
      <c r="I53" s="26">
        <f>PL!I16</f>
        <v>51.84</v>
      </c>
      <c r="J53" s="26">
        <f>PL!J16</f>
        <v>51.84</v>
      </c>
      <c r="K53" s="26">
        <f>PL!K16</f>
        <v>51.84</v>
      </c>
      <c r="L53" s="26">
        <f>PL!L16</f>
        <v>51.84</v>
      </c>
      <c r="M53" s="26">
        <f>PL!M16</f>
        <v>51.84</v>
      </c>
    </row>
    <row r="54" spans="2:13">
      <c r="B54" s="173" t="s">
        <v>291</v>
      </c>
      <c r="D54" s="26">
        <f>PL!D17</f>
        <v>8.1</v>
      </c>
      <c r="E54" s="26">
        <f>PL!E17</f>
        <v>37.799999999999997</v>
      </c>
      <c r="F54" s="26">
        <f>PL!F17</f>
        <v>48.6</v>
      </c>
      <c r="G54" s="26">
        <f>PL!G17</f>
        <v>59.400000000000013</v>
      </c>
      <c r="H54" s="26">
        <f>PL!H17</f>
        <v>70.2</v>
      </c>
      <c r="I54" s="26">
        <f>PL!I17</f>
        <v>81</v>
      </c>
      <c r="J54" s="26">
        <f>PL!J17</f>
        <v>81</v>
      </c>
      <c r="K54" s="26">
        <f>PL!K17</f>
        <v>81</v>
      </c>
      <c r="L54" s="26">
        <f>PL!L17</f>
        <v>81</v>
      </c>
      <c r="M54" s="26">
        <f>PL!M17</f>
        <v>81</v>
      </c>
    </row>
    <row r="55" spans="2:13">
      <c r="B55" s="173" t="s">
        <v>292</v>
      </c>
      <c r="D55" s="26">
        <f>PL!D18</f>
        <v>4.1580000000000004</v>
      </c>
      <c r="E55" s="26">
        <f>PL!E18</f>
        <v>19.404</v>
      </c>
      <c r="F55" s="26">
        <f>PL!F18</f>
        <v>24.948</v>
      </c>
      <c r="G55" s="26">
        <f>PL!G18</f>
        <v>30.492000000000004</v>
      </c>
      <c r="H55" s="26">
        <f>PL!H18</f>
        <v>36.036000000000001</v>
      </c>
      <c r="I55" s="26">
        <f>PL!I18</f>
        <v>41.58</v>
      </c>
      <c r="J55" s="26">
        <f>PL!J18</f>
        <v>41.58</v>
      </c>
      <c r="K55" s="26">
        <f>PL!K18</f>
        <v>41.58</v>
      </c>
      <c r="L55" s="26">
        <f>PL!L18</f>
        <v>41.58</v>
      </c>
      <c r="M55" s="26">
        <f>PL!M18</f>
        <v>41.58</v>
      </c>
    </row>
    <row r="56" spans="2:13">
      <c r="B56" s="173" t="s">
        <v>293</v>
      </c>
      <c r="D56" s="26">
        <f>PL!D19</f>
        <v>2.0790000000000002</v>
      </c>
      <c r="E56" s="26">
        <f>PL!E19</f>
        <v>9.702</v>
      </c>
      <c r="F56" s="26">
        <f>PL!F19</f>
        <v>12.474</v>
      </c>
      <c r="G56" s="26">
        <f>PL!G19</f>
        <v>15.246000000000002</v>
      </c>
      <c r="H56" s="26">
        <f>PL!H19</f>
        <v>18.018000000000001</v>
      </c>
      <c r="I56" s="26">
        <f>PL!I19</f>
        <v>20.79</v>
      </c>
      <c r="J56" s="26">
        <f>PL!J19</f>
        <v>20.79</v>
      </c>
      <c r="K56" s="26">
        <f>PL!K19</f>
        <v>20.79</v>
      </c>
      <c r="L56" s="26">
        <f>PL!L19</f>
        <v>20.79</v>
      </c>
      <c r="M56" s="26">
        <f>PL!M19</f>
        <v>20.79</v>
      </c>
    </row>
    <row r="57" spans="2:13">
      <c r="B57" s="2" t="s">
        <v>385</v>
      </c>
      <c r="D57" s="26">
        <f>PL!D37+PL!D38</f>
        <v>3.5357049855000007</v>
      </c>
      <c r="E57" s="26">
        <f>PL!E37+PL!E38</f>
        <v>15.252189489000001</v>
      </c>
      <c r="F57" s="26">
        <f>PL!F37+PL!F38</f>
        <v>19.446029005499998</v>
      </c>
      <c r="G57" s="26">
        <f>PL!G37+PL!G38</f>
        <v>23.781065511375004</v>
      </c>
      <c r="H57" s="26">
        <f>PL!H37+PL!H38</f>
        <v>28.117678149843744</v>
      </c>
      <c r="I57" s="26">
        <f>PL!I37+PL!I38</f>
        <v>32.455998816285934</v>
      </c>
      <c r="J57" s="26">
        <f>PL!J37+PL!J38</f>
        <v>32.761523455725239</v>
      </c>
      <c r="K57" s="26">
        <f>PL!K37+PL!K38</f>
        <v>32.789573000898997</v>
      </c>
      <c r="L57" s="26">
        <f>PL!L37+PL!L38</f>
        <v>32.819802295720201</v>
      </c>
      <c r="M57" s="26">
        <f>PL!M37+PL!M38</f>
        <v>32.852398054910083</v>
      </c>
    </row>
    <row r="58" spans="2:13">
      <c r="B58" s="2" t="s">
        <v>204</v>
      </c>
      <c r="D58" s="26">
        <f>PL!D24-PL!D25+PL!D28-PL!D29</f>
        <v>-41.10275</v>
      </c>
      <c r="E58" s="26">
        <f>PL!E24-PL!E25+PL!E28-PL!E29</f>
        <v>-6.5435499999999962</v>
      </c>
      <c r="F58" s="26">
        <f>PL!F24-PL!F25+PL!F28-PL!F29</f>
        <v>-12.900858750000005</v>
      </c>
      <c r="G58" s="26">
        <f>PL!G24-PL!G25+PL!G28-PL!G29</f>
        <v>-12.917026687500037</v>
      </c>
      <c r="H58" s="26">
        <f>PL!H24-PL!H25+PL!H28-PL!H29</f>
        <v>-12.934539271875</v>
      </c>
      <c r="I58" s="26">
        <f>PL!I24-PL!I25+PL!I28-PL!I29</f>
        <v>-12.953517360468723</v>
      </c>
      <c r="J58" s="26">
        <f>PL!J24-PL!J25+PL!J28-PL!J29</f>
        <v>-0.28934321599219004</v>
      </c>
      <c r="K58" s="26">
        <f>PL!K24-PL!K25+PL!K28-PL!K29</f>
        <v>-0.31166161304182083</v>
      </c>
      <c r="L58" s="26">
        <f>PL!L24-PL!L25+PL!L28-PL!L29</f>
        <v>-0.33588105356886189</v>
      </c>
      <c r="M58" s="26">
        <f>PL!M24-PL!M25+PL!M28-PL!M29</f>
        <v>-0.3621751021098305</v>
      </c>
    </row>
    <row r="59" spans="2:13">
      <c r="B59" s="121" t="s">
        <v>386</v>
      </c>
      <c r="C59" s="121"/>
      <c r="D59" s="174">
        <f>D49-D50</f>
        <v>22.823965014499976</v>
      </c>
      <c r="E59" s="174">
        <f t="shared" ref="E59:M59" si="12">E49-E50</f>
        <v>156.3778205110001</v>
      </c>
      <c r="F59" s="174">
        <f t="shared" si="12"/>
        <v>199.52134974450018</v>
      </c>
      <c r="G59" s="174">
        <f t="shared" si="12"/>
        <v>244.84504117612482</v>
      </c>
      <c r="H59" s="174">
        <f t="shared" si="12"/>
        <v>290.1685011220311</v>
      </c>
      <c r="I59" s="174">
        <f t="shared" si="12"/>
        <v>335.49171854418273</v>
      </c>
      <c r="J59" s="174">
        <f t="shared" si="12"/>
        <v>339.84701976026668</v>
      </c>
      <c r="K59" s="174">
        <f t="shared" si="12"/>
        <v>339.84128861214253</v>
      </c>
      <c r="L59" s="174">
        <f t="shared" si="12"/>
        <v>339.8352787578483</v>
      </c>
      <c r="M59" s="174">
        <f t="shared" si="12"/>
        <v>339.82897704719949</v>
      </c>
    </row>
    <row r="60" spans="2:13">
      <c r="B60" s="121" t="s">
        <v>387</v>
      </c>
      <c r="C60" s="121"/>
      <c r="D60" s="145">
        <f>SUM(D61:D65)</f>
        <v>24.177312134271901</v>
      </c>
      <c r="E60" s="145">
        <f t="shared" ref="E60:M60" si="13">SUM(E61:E65)</f>
        <v>110.2534150620876</v>
      </c>
      <c r="F60" s="145">
        <f t="shared" si="13"/>
        <v>121.10533873708761</v>
      </c>
      <c r="G60" s="145">
        <f t="shared" si="13"/>
        <v>132.47070053708759</v>
      </c>
      <c r="H60" s="145">
        <f t="shared" si="13"/>
        <v>144.15937158708758</v>
      </c>
      <c r="I60" s="145">
        <f t="shared" si="13"/>
        <v>156.19840734958757</v>
      </c>
      <c r="J60" s="145">
        <f t="shared" si="13"/>
        <v>160.62237826021257</v>
      </c>
      <c r="K60" s="145">
        <f t="shared" si="13"/>
        <v>164.7854162038262</v>
      </c>
      <c r="L60" s="145">
        <f t="shared" si="13"/>
        <v>169.53777360419525</v>
      </c>
      <c r="M60" s="145">
        <f t="shared" si="13"/>
        <v>175.19088005660751</v>
      </c>
    </row>
    <row r="61" spans="2:13">
      <c r="B61" s="2" t="s">
        <v>388</v>
      </c>
      <c r="D61" s="26">
        <f>PL!D20</f>
        <v>9.57</v>
      </c>
      <c r="E61" s="26">
        <f>PL!E20</f>
        <v>40.194000000000003</v>
      </c>
      <c r="F61" s="26">
        <f>PL!F20</f>
        <v>42.203699999999998</v>
      </c>
      <c r="G61" s="26">
        <f>PL!G20</f>
        <v>44.313884999999999</v>
      </c>
      <c r="H61" s="26">
        <f>PL!H20</f>
        <v>46.529579249999998</v>
      </c>
      <c r="I61" s="26">
        <f>PL!I20</f>
        <v>48.856058212500002</v>
      </c>
      <c r="J61" s="26">
        <f>PL!J20</f>
        <v>51.298861123125008</v>
      </c>
      <c r="K61" s="26">
        <f>PL!K20</f>
        <v>53.86380417928126</v>
      </c>
      <c r="L61" s="26">
        <f>PL!L20</f>
        <v>56.556994388245329</v>
      </c>
      <c r="M61" s="26">
        <f>PL!M20</f>
        <v>59.384844107657585</v>
      </c>
    </row>
    <row r="62" spans="2:13">
      <c r="B62" s="2" t="s">
        <v>295</v>
      </c>
      <c r="D62" s="26">
        <f>PL!D21</f>
        <v>4.5</v>
      </c>
      <c r="E62" s="26">
        <f>PL!E21</f>
        <v>19.8</v>
      </c>
      <c r="F62" s="26">
        <f>PL!F21</f>
        <v>21.78</v>
      </c>
      <c r="G62" s="26">
        <f>PL!G21</f>
        <v>23.958000000000002</v>
      </c>
      <c r="H62" s="26">
        <f>PL!H21</f>
        <v>26.353800000000003</v>
      </c>
      <c r="I62" s="26">
        <f>PL!I21</f>
        <v>28.989180000000005</v>
      </c>
      <c r="J62" s="26">
        <f>PL!J21</f>
        <v>31.888098000000006</v>
      </c>
      <c r="K62" s="26">
        <f>PL!K21</f>
        <v>35.076907800000008</v>
      </c>
      <c r="L62" s="26">
        <f>PL!L21</f>
        <v>38.584598580000012</v>
      </c>
      <c r="M62" s="26">
        <f>PL!M21</f>
        <v>42.443058438000016</v>
      </c>
    </row>
    <row r="63" spans="2:13">
      <c r="B63" s="2" t="s">
        <v>389</v>
      </c>
      <c r="D63" s="26">
        <f>PL!D27</f>
        <v>4.8267575999999996</v>
      </c>
      <c r="E63" s="26">
        <f>PL!E27</f>
        <v>29.541493799999998</v>
      </c>
      <c r="F63" s="26">
        <f>PL!F27</f>
        <v>37.796295600000001</v>
      </c>
      <c r="G63" s="26">
        <f>PL!G27</f>
        <v>46.310972400000011</v>
      </c>
      <c r="H63" s="26">
        <f>PL!H27</f>
        <v>54.825649199999994</v>
      </c>
      <c r="I63" s="26">
        <f>PL!I27</f>
        <v>63.340325999999997</v>
      </c>
      <c r="J63" s="26">
        <f>PL!J27</f>
        <v>63.860075999999992</v>
      </c>
      <c r="K63" s="26">
        <f>PL!K27</f>
        <v>63.860075999999992</v>
      </c>
      <c r="L63" s="26">
        <f>PL!L27</f>
        <v>63.860075999999992</v>
      </c>
      <c r="M63" s="26">
        <f>PL!M27</f>
        <v>63.860075999999992</v>
      </c>
    </row>
    <row r="64" spans="2:13">
      <c r="B64" s="2" t="s">
        <v>390</v>
      </c>
      <c r="D64" s="26">
        <f>PL!D36</f>
        <v>2.875</v>
      </c>
      <c r="E64" s="26">
        <f>PL!E36</f>
        <v>11.095703124999998</v>
      </c>
      <c r="F64" s="26">
        <f>PL!F36</f>
        <v>9.7031249999999947</v>
      </c>
      <c r="G64" s="26">
        <f>PL!G36</f>
        <v>8.2656249999999876</v>
      </c>
      <c r="H64" s="26">
        <f>PL!H36</f>
        <v>6.8281249999999822</v>
      </c>
      <c r="I64" s="26">
        <f>PL!I36</f>
        <v>5.3906249999999813</v>
      </c>
      <c r="J64" s="26">
        <f>PL!J36</f>
        <v>3.9531249999999845</v>
      </c>
      <c r="K64" s="26">
        <f>PL!K36</f>
        <v>2.5156249999999867</v>
      </c>
      <c r="L64" s="26">
        <f>PL!L36</f>
        <v>1.0781249999999853</v>
      </c>
      <c r="M64" s="26">
        <f>PL!M36</f>
        <v>4.4921874999985595E-2</v>
      </c>
    </row>
    <row r="65" spans="2:13">
      <c r="B65" s="2" t="s">
        <v>49</v>
      </c>
      <c r="D65" s="26">
        <f>PL!D33</f>
        <v>2.4055545342718996</v>
      </c>
      <c r="E65" s="26">
        <f>PL!E33</f>
        <v>9.6222181370875983</v>
      </c>
      <c r="F65" s="26">
        <f>PL!F33</f>
        <v>9.6222181370875983</v>
      </c>
      <c r="G65" s="26">
        <f>PL!G33</f>
        <v>9.6222181370875983</v>
      </c>
      <c r="H65" s="26">
        <f>PL!H33</f>
        <v>9.6222181370875983</v>
      </c>
      <c r="I65" s="26">
        <f>PL!I33</f>
        <v>9.6222181370875983</v>
      </c>
      <c r="J65" s="26">
        <f>PL!J33</f>
        <v>9.6222181370875983</v>
      </c>
      <c r="K65" s="26">
        <f>PL!K33</f>
        <v>9.4690032245449363</v>
      </c>
      <c r="L65" s="26">
        <f>PL!L33</f>
        <v>9.4579796359499415</v>
      </c>
      <c r="M65" s="26">
        <f>PL!M33</f>
        <v>9.4579796359499415</v>
      </c>
    </row>
    <row r="66" spans="2:13">
      <c r="B66" s="121" t="s">
        <v>391</v>
      </c>
      <c r="C66" s="121"/>
      <c r="D66" s="174">
        <f>D60-D65</f>
        <v>21.771757600000001</v>
      </c>
      <c r="E66" s="174">
        <f t="shared" ref="E66:M66" si="14">E60-E65</f>
        <v>100.631196925</v>
      </c>
      <c r="F66" s="174">
        <f t="shared" si="14"/>
        <v>111.48312060000001</v>
      </c>
      <c r="G66" s="174">
        <f t="shared" si="14"/>
        <v>122.84848239999999</v>
      </c>
      <c r="H66" s="174">
        <f t="shared" si="14"/>
        <v>134.53715344999998</v>
      </c>
      <c r="I66" s="174">
        <f t="shared" si="14"/>
        <v>146.57618921249997</v>
      </c>
      <c r="J66" s="174">
        <f t="shared" si="14"/>
        <v>151.00016012312497</v>
      </c>
      <c r="K66" s="174">
        <f t="shared" si="14"/>
        <v>155.31641297928127</v>
      </c>
      <c r="L66" s="174">
        <f t="shared" si="14"/>
        <v>160.0797939682453</v>
      </c>
      <c r="M66" s="174">
        <f t="shared" si="14"/>
        <v>165.73290042065756</v>
      </c>
    </row>
    <row r="67" spans="2:13">
      <c r="B67" s="2" t="s">
        <v>392</v>
      </c>
      <c r="D67" s="161">
        <f>D59/D49</f>
        <v>0.14185898840973479</v>
      </c>
      <c r="E67" s="161">
        <f t="shared" ref="E67:M67" si="15">E59/E49</f>
        <v>0.15880492188685472</v>
      </c>
      <c r="F67" s="161">
        <f t="shared" si="15"/>
        <v>0.1583657974231476</v>
      </c>
      <c r="G67" s="161">
        <f t="shared" si="15"/>
        <v>0.15860930692277458</v>
      </c>
      <c r="H67" s="161">
        <f t="shared" si="15"/>
        <v>0.15877705345367682</v>
      </c>
      <c r="I67" s="161">
        <f t="shared" si="15"/>
        <v>0.15889958564983517</v>
      </c>
      <c r="J67" s="161">
        <f t="shared" si="15"/>
        <v>0.15965234042013982</v>
      </c>
      <c r="K67" s="161">
        <f t="shared" si="15"/>
        <v>0.15964964805811188</v>
      </c>
      <c r="L67" s="161">
        <f t="shared" si="15"/>
        <v>0.15964682476631331</v>
      </c>
      <c r="M67" s="161">
        <f t="shared" si="15"/>
        <v>0.15964386436708886</v>
      </c>
    </row>
    <row r="68" spans="2:13">
      <c r="B68" s="120" t="s">
        <v>393</v>
      </c>
    </row>
    <row r="69" spans="2:13">
      <c r="B69" s="185" t="s">
        <v>103</v>
      </c>
      <c r="D69" s="26">
        <f>D60/D67</f>
        <v>170.43200720168664</v>
      </c>
      <c r="E69" s="26">
        <f t="shared" ref="E69:M69" si="16">E60/E67</f>
        <v>694.26950847682747</v>
      </c>
      <c r="F69" s="26">
        <f t="shared" si="16"/>
        <v>764.71902839915981</v>
      </c>
      <c r="G69" s="26">
        <f t="shared" si="16"/>
        <v>835.20130758522487</v>
      </c>
      <c r="H69" s="26">
        <f t="shared" si="16"/>
        <v>907.93580338827769</v>
      </c>
      <c r="I69" s="26">
        <f t="shared" si="16"/>
        <v>983.00072156135036</v>
      </c>
      <c r="J69" s="26">
        <f t="shared" si="16"/>
        <v>1006.0759387398895</v>
      </c>
      <c r="K69" s="26">
        <f t="shared" si="16"/>
        <v>1032.1689913393666</v>
      </c>
      <c r="L69" s="26">
        <f t="shared" si="16"/>
        <v>1061.95518672144</v>
      </c>
      <c r="M69" s="26">
        <f t="shared" si="16"/>
        <v>1097.3856136040999</v>
      </c>
    </row>
    <row r="70" spans="2:13">
      <c r="B70" s="185" t="s">
        <v>341</v>
      </c>
      <c r="D70" s="161">
        <f>D69/D49*CoP!E9</f>
        <v>0.31778850150154209</v>
      </c>
      <c r="E70" s="161">
        <f>E69/E49*CoP!F9</f>
        <v>0.24676578267706584</v>
      </c>
      <c r="F70" s="161">
        <f>F69/F49*CoP!G9</f>
        <v>0.27314070650322297</v>
      </c>
      <c r="G70" s="161">
        <f>G69/G49*CoP!H9</f>
        <v>0.29757141474222659</v>
      </c>
      <c r="H70" s="161">
        <f>H69/H49*CoP!I9</f>
        <v>0.32292819919898763</v>
      </c>
      <c r="I70" s="161">
        <f>I69/I49*CoP!J9</f>
        <v>0.34918538681235051</v>
      </c>
      <c r="J70" s="161">
        <f>J69/J49*CoP!K9</f>
        <v>0.35447356219318493</v>
      </c>
      <c r="K70" s="161">
        <f>K69/K49*CoP!L9</f>
        <v>0.36366700072727365</v>
      </c>
      <c r="L70" s="161">
        <f>L69/L49*CoP!M9</f>
        <v>0.37416165463430395</v>
      </c>
      <c r="M70" s="161">
        <f>M69/M49*CoP!N9</f>
        <v>0.38664495648411462</v>
      </c>
    </row>
    <row r="71" spans="2:13">
      <c r="B71" s="185" t="s">
        <v>394</v>
      </c>
      <c r="D71" s="23">
        <f>AVERAGE(D70:M70)</f>
        <v>0.32863271654742732</v>
      </c>
    </row>
    <row r="72" spans="2:13">
      <c r="B72" s="120" t="s">
        <v>395</v>
      </c>
    </row>
    <row r="73" spans="2:13">
      <c r="B73" s="185" t="s">
        <v>103</v>
      </c>
      <c r="D73" s="25">
        <f>D66/D67</f>
        <v>153.47464298219933</v>
      </c>
      <c r="E73" s="25">
        <f t="shared" ref="E73:M73" si="17">E66/E67</f>
        <v>633.67807325705985</v>
      </c>
      <c r="F73" s="25">
        <f t="shared" si="17"/>
        <v>703.95958227091921</v>
      </c>
      <c r="G73" s="25">
        <f t="shared" si="17"/>
        <v>774.53514414392964</v>
      </c>
      <c r="H73" s="25">
        <f t="shared" si="17"/>
        <v>847.33373320377916</v>
      </c>
      <c r="I73" s="25">
        <f t="shared" si="17"/>
        <v>922.44538343547288</v>
      </c>
      <c r="J73" s="25">
        <f t="shared" si="17"/>
        <v>945.80611675190084</v>
      </c>
      <c r="K73" s="25">
        <f t="shared" si="17"/>
        <v>972.85784759604769</v>
      </c>
      <c r="L73" s="25">
        <f t="shared" si="17"/>
        <v>1002.7120439292529</v>
      </c>
      <c r="M73" s="25">
        <f t="shared" si="17"/>
        <v>1038.1413722206537</v>
      </c>
    </row>
    <row r="74" spans="2:13">
      <c r="B74" s="185" t="s">
        <v>341</v>
      </c>
      <c r="D74" s="23">
        <f>D73/D49*CoP!E9</f>
        <v>0.28616970258456609</v>
      </c>
      <c r="E74" s="23">
        <f>E73/E49*CoP!F9</f>
        <v>0.22522963172563495</v>
      </c>
      <c r="F74" s="23">
        <f>F73/F49*CoP!G9</f>
        <v>0.25143877752552579</v>
      </c>
      <c r="G74" s="23">
        <f>G73/G49*CoP!H9</f>
        <v>0.27595684599304243</v>
      </c>
      <c r="H74" s="23">
        <f>H73/H49*CoP!I9</f>
        <v>0.30137368254772429</v>
      </c>
      <c r="I74" s="23">
        <f>I73/I49*CoP!J9</f>
        <v>0.32767468117069903</v>
      </c>
      <c r="J74" s="23">
        <f>J73/J49*CoP!K9</f>
        <v>0.33323852647650737</v>
      </c>
      <c r="K74" s="23">
        <f>K73/K49*CoP!L9</f>
        <v>0.34276973881006773</v>
      </c>
      <c r="L74" s="23">
        <f>L73/L49*CoP!M9</f>
        <v>0.3532883516832675</v>
      </c>
      <c r="M74" s="23">
        <f>M73/M49*CoP!N9</f>
        <v>0.36577126646333324</v>
      </c>
    </row>
    <row r="75" spans="2:13">
      <c r="B75" s="186" t="s">
        <v>396</v>
      </c>
      <c r="C75" s="44"/>
      <c r="D75" s="184">
        <f>AVERAGE(D74:M74)</f>
        <v>0.30629112049803686</v>
      </c>
      <c r="E75" s="44"/>
      <c r="F75" s="44"/>
      <c r="G75" s="44"/>
      <c r="H75" s="44"/>
      <c r="I75" s="44"/>
      <c r="J75" s="44"/>
      <c r="K75" s="44"/>
      <c r="L75" s="44"/>
      <c r="M75" s="44"/>
    </row>
    <row r="76" spans="2:13">
      <c r="D76" s="27">
        <f>D49-D50-D60-PL!D39</f>
        <v>-1.7763568394002505E-14</v>
      </c>
      <c r="E76" s="27">
        <f>E49-E50-E60-PL!E39</f>
        <v>-6.3948846218409017E-14</v>
      </c>
      <c r="F76" s="27">
        <f>F49-F50-F60-PL!F39</f>
        <v>-2.4158453015843406E-13</v>
      </c>
      <c r="G76" s="27">
        <f>G49-G50-G60-PL!G39</f>
        <v>0</v>
      </c>
      <c r="H76" s="27">
        <f>H49-H50-H60-PL!H39</f>
        <v>7.9580786405131221E-13</v>
      </c>
      <c r="I76" s="27">
        <f>I49-I50-I60-PL!I39</f>
        <v>0</v>
      </c>
      <c r="J76" s="27">
        <f>J49-J50-J60-PL!J39</f>
        <v>0</v>
      </c>
      <c r="K76" s="27">
        <f>K49-K50-K60-PL!K39</f>
        <v>0</v>
      </c>
      <c r="L76" s="27">
        <f>L49-L50-L60-PL!L39</f>
        <v>-2.5579538487363607E-13</v>
      </c>
      <c r="M76" s="27">
        <f>M49-M50-M60-PL!M39</f>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2060"/>
  </sheetPr>
  <dimension ref="B2:M61"/>
  <sheetViews>
    <sheetView showGridLines="0" zoomScale="200" zoomScaleNormal="200" workbookViewId="0">
      <selection activeCell="B29" sqref="B29:B36"/>
    </sheetView>
  </sheetViews>
  <sheetFormatPr baseColWidth="10" defaultColWidth="9.1640625" defaultRowHeight="13"/>
  <cols>
    <col min="1" max="1" width="4.1640625" style="2" customWidth="1"/>
    <col min="2" max="2" width="33.83203125" style="2" bestFit="1" customWidth="1"/>
    <col min="3" max="13" width="10.6640625" style="2" customWidth="1"/>
    <col min="14" max="16384" width="9.1640625" style="2"/>
  </cols>
  <sheetData>
    <row r="2" spans="2:13">
      <c r="B2" s="37" t="s">
        <v>198</v>
      </c>
    </row>
    <row r="4" spans="2:13">
      <c r="B4" s="37" t="s">
        <v>69</v>
      </c>
      <c r="C4" s="93"/>
      <c r="D4" s="93">
        <f>PL!D4</f>
        <v>44286</v>
      </c>
      <c r="E4" s="93">
        <f>PL!E4</f>
        <v>44651</v>
      </c>
      <c r="F4" s="93">
        <f>PL!F4</f>
        <v>45016</v>
      </c>
      <c r="G4" s="93">
        <f>PL!G4</f>
        <v>45382</v>
      </c>
      <c r="H4" s="93">
        <f>PL!H4</f>
        <v>45747</v>
      </c>
      <c r="I4" s="93">
        <f>PL!I4</f>
        <v>46112</v>
      </c>
      <c r="J4" s="93">
        <f>PL!J4</f>
        <v>46477</v>
      </c>
      <c r="K4" s="93">
        <f>PL!K4</f>
        <v>46843</v>
      </c>
      <c r="L4" s="93">
        <f>PL!L4</f>
        <v>47208</v>
      </c>
      <c r="M4" s="93">
        <f>PL!M4</f>
        <v>47573</v>
      </c>
    </row>
    <row r="5" spans="2:13">
      <c r="B5" s="32" t="s">
        <v>47</v>
      </c>
      <c r="D5" s="27">
        <f>PL!D10</f>
        <v>160.89192</v>
      </c>
      <c r="E5" s="27">
        <f>PL!E10</f>
        <v>984.71645999999998</v>
      </c>
      <c r="F5" s="27">
        <f>PL!F10</f>
        <v>1259.87652</v>
      </c>
      <c r="G5" s="27">
        <f>PL!G10</f>
        <v>1543.6990800000003</v>
      </c>
      <c r="H5" s="27">
        <f>PL!H10</f>
        <v>1827.5216399999999</v>
      </c>
      <c r="I5" s="27">
        <f>PL!I10</f>
        <v>2111.3442</v>
      </c>
      <c r="J5" s="27">
        <f>PL!J10</f>
        <v>2128.6691999999998</v>
      </c>
      <c r="K5" s="27">
        <f>PL!K10</f>
        <v>2128.6691999999998</v>
      </c>
      <c r="L5" s="27">
        <f>PL!L10</f>
        <v>2128.6691999999998</v>
      </c>
      <c r="M5" s="27">
        <f>PL!M10</f>
        <v>2128.6691999999998</v>
      </c>
    </row>
    <row r="6" spans="2:13">
      <c r="B6" s="32" t="s">
        <v>46</v>
      </c>
      <c r="D6" s="27"/>
      <c r="E6" s="27"/>
      <c r="F6" s="27"/>
      <c r="G6" s="27"/>
      <c r="H6" s="27"/>
      <c r="I6" s="27"/>
      <c r="J6" s="27"/>
      <c r="K6" s="27"/>
      <c r="L6" s="27"/>
      <c r="M6" s="27"/>
    </row>
    <row r="7" spans="2:13">
      <c r="B7" s="32" t="s">
        <v>177</v>
      </c>
      <c r="D7" s="27">
        <f>PL!D30</f>
        <v>153.42900760000001</v>
      </c>
      <c r="E7" s="27">
        <f>PL!E30</f>
        <v>902.62194379999983</v>
      </c>
      <c r="F7" s="27">
        <f>PL!F30</f>
        <v>1142.6891368499996</v>
      </c>
      <c r="G7" s="27">
        <f>PL!G30</f>
        <v>1389.6558307125006</v>
      </c>
      <c r="H7" s="27">
        <f>PL!H30</f>
        <v>1636.9444891781259</v>
      </c>
      <c r="I7" s="27">
        <f>PL!I30</f>
        <v>1884.5820468520312</v>
      </c>
      <c r="J7" s="27">
        <f>PL!J30</f>
        <v>1903.1076919071329</v>
      </c>
      <c r="K7" s="27">
        <f>PL!K30</f>
        <v>1908.8391263662397</v>
      </c>
      <c r="L7" s="27">
        <f>PL!L30</f>
        <v>1915.0157879146764</v>
      </c>
      <c r="M7" s="27">
        <f>PL!M30</f>
        <v>1921.6758034435479</v>
      </c>
    </row>
    <row r="8" spans="2:13">
      <c r="B8" s="32" t="s">
        <v>50</v>
      </c>
      <c r="D8" s="27">
        <f>PL!D31</f>
        <v>7.4629123999999933</v>
      </c>
      <c r="E8" s="27">
        <f>PL!E31</f>
        <v>82.094516200000157</v>
      </c>
      <c r="F8" s="27">
        <f>PL!F31</f>
        <v>117.18738315000041</v>
      </c>
      <c r="G8" s="27">
        <f>PL!G31</f>
        <v>154.04324928749975</v>
      </c>
      <c r="H8" s="27">
        <f>PL!H31</f>
        <v>190.57715082187406</v>
      </c>
      <c r="I8" s="27">
        <f>PL!I31</f>
        <v>226.76215314796877</v>
      </c>
      <c r="J8" s="27">
        <f>PL!J31</f>
        <v>225.56150809286692</v>
      </c>
      <c r="K8" s="27">
        <f>PL!K31</f>
        <v>219.83007363376009</v>
      </c>
      <c r="L8" s="27">
        <f>PL!L31</f>
        <v>213.65341208532345</v>
      </c>
      <c r="M8" s="27">
        <f>PL!M31</f>
        <v>206.9933965564519</v>
      </c>
    </row>
    <row r="9" spans="2:13">
      <c r="B9" s="32" t="s">
        <v>49</v>
      </c>
      <c r="D9" s="27">
        <f>PL!D33</f>
        <v>2.4055545342718996</v>
      </c>
      <c r="E9" s="27">
        <f>PL!E33</f>
        <v>9.6222181370875983</v>
      </c>
      <c r="F9" s="27">
        <f>PL!F33</f>
        <v>9.6222181370875983</v>
      </c>
      <c r="G9" s="27">
        <f>PL!G33</f>
        <v>9.6222181370875983</v>
      </c>
      <c r="H9" s="27">
        <f>PL!H33</f>
        <v>9.6222181370875983</v>
      </c>
      <c r="I9" s="27">
        <f>PL!I33</f>
        <v>9.6222181370875983</v>
      </c>
      <c r="J9" s="27">
        <f>PL!J33</f>
        <v>9.6222181370875983</v>
      </c>
      <c r="K9" s="27">
        <f>PL!K33</f>
        <v>9.4690032245449363</v>
      </c>
      <c r="L9" s="27">
        <f>PL!L33</f>
        <v>9.4579796359499415</v>
      </c>
      <c r="M9" s="27">
        <f>PL!M33</f>
        <v>9.4579796359499415</v>
      </c>
    </row>
    <row r="10" spans="2:13">
      <c r="B10" s="32" t="s">
        <v>107</v>
      </c>
      <c r="D10" s="27">
        <f>PL!D34</f>
        <v>5.0573578657280933</v>
      </c>
      <c r="E10" s="27">
        <f>PL!E34</f>
        <v>72.472298062912557</v>
      </c>
      <c r="F10" s="27">
        <f>PL!F34</f>
        <v>107.56516501291281</v>
      </c>
      <c r="G10" s="27">
        <f>PL!G34</f>
        <v>144.42103115041215</v>
      </c>
      <c r="H10" s="27">
        <f>PL!H34</f>
        <v>180.95493268478646</v>
      </c>
      <c r="I10" s="27">
        <f>PL!I34</f>
        <v>217.13993501088117</v>
      </c>
      <c r="J10" s="27">
        <f>PL!J34</f>
        <v>215.93928995577932</v>
      </c>
      <c r="K10" s="27">
        <f>PL!K34</f>
        <v>210.36107040921516</v>
      </c>
      <c r="L10" s="27">
        <f>PL!L34</f>
        <v>204.1954324493735</v>
      </c>
      <c r="M10" s="27">
        <f>PL!M34</f>
        <v>197.53541692050194</v>
      </c>
    </row>
    <row r="11" spans="2:13">
      <c r="B11" s="32" t="s">
        <v>45</v>
      </c>
      <c r="D11" s="27"/>
      <c r="E11" s="27"/>
      <c r="F11" s="27"/>
      <c r="G11" s="27"/>
      <c r="H11" s="27"/>
      <c r="I11" s="27"/>
      <c r="J11" s="27"/>
      <c r="K11" s="27"/>
      <c r="L11" s="27"/>
      <c r="M11" s="27"/>
    </row>
    <row r="12" spans="2:13">
      <c r="B12" s="132" t="s">
        <v>178</v>
      </c>
      <c r="D12" s="178">
        <f>PL!D36</f>
        <v>2.875</v>
      </c>
      <c r="E12" s="178">
        <f>PL!E36</f>
        <v>11.095703124999998</v>
      </c>
      <c r="F12" s="178">
        <f>PL!F36</f>
        <v>9.7031249999999947</v>
      </c>
      <c r="G12" s="178">
        <f>PL!G36</f>
        <v>8.2656249999999876</v>
      </c>
      <c r="H12" s="178">
        <f>PL!H36</f>
        <v>6.8281249999999822</v>
      </c>
      <c r="I12" s="178">
        <f>PL!I36</f>
        <v>5.3906249999999813</v>
      </c>
      <c r="J12" s="178">
        <f>PL!J36</f>
        <v>3.9531249999999845</v>
      </c>
      <c r="K12" s="178">
        <f>PL!K36</f>
        <v>2.5156249999999867</v>
      </c>
      <c r="L12" s="178">
        <f>PL!L36</f>
        <v>1.0781249999999853</v>
      </c>
      <c r="M12" s="178">
        <f>PL!M36</f>
        <v>4.4921874999985595E-2</v>
      </c>
    </row>
    <row r="13" spans="2:13">
      <c r="B13" s="132" t="s">
        <v>179</v>
      </c>
      <c r="D13" s="178">
        <f>PL!D37</f>
        <v>1.9642805475000005</v>
      </c>
      <c r="E13" s="178">
        <f>PL!E37</f>
        <v>12.710157907500001</v>
      </c>
      <c r="F13" s="178">
        <f>PL!F37</f>
        <v>16.205024171249999</v>
      </c>
      <c r="G13" s="178">
        <f>PL!G37</f>
        <v>19.817554592812503</v>
      </c>
      <c r="H13" s="178">
        <f>PL!H37</f>
        <v>23.43139845820312</v>
      </c>
      <c r="I13" s="178">
        <f>PL!I37</f>
        <v>27.046665680238277</v>
      </c>
      <c r="J13" s="178">
        <f>PL!J37</f>
        <v>27.301269546437698</v>
      </c>
      <c r="K13" s="178">
        <f>PL!K37</f>
        <v>27.324644167415833</v>
      </c>
      <c r="L13" s="178">
        <f>PL!L37</f>
        <v>27.3498352464335</v>
      </c>
      <c r="M13" s="178">
        <f>PL!M37</f>
        <v>27.376998379091738</v>
      </c>
    </row>
    <row r="14" spans="2:13">
      <c r="B14" s="32" t="s">
        <v>52</v>
      </c>
      <c r="D14" s="178">
        <f>PL!D38</f>
        <v>1.5714244380000002</v>
      </c>
      <c r="E14" s="178">
        <f>PL!E38</f>
        <v>2.5420315814999999</v>
      </c>
      <c r="F14" s="178">
        <f>PL!F38</f>
        <v>3.24100483425</v>
      </c>
      <c r="G14" s="178">
        <f>PL!G38</f>
        <v>3.9635109185625006</v>
      </c>
      <c r="H14" s="178">
        <f>PL!H38</f>
        <v>4.6862796916406237</v>
      </c>
      <c r="I14" s="178">
        <f>PL!I38</f>
        <v>5.409333136047656</v>
      </c>
      <c r="J14" s="178">
        <f>PL!J38</f>
        <v>5.4602539092875393</v>
      </c>
      <c r="K14" s="178">
        <f>PL!K38</f>
        <v>5.4649288334831656</v>
      </c>
      <c r="L14" s="178">
        <f>PL!L38</f>
        <v>5.4699670492866996</v>
      </c>
      <c r="M14" s="178">
        <f>PL!M38</f>
        <v>5.4753996758183474</v>
      </c>
    </row>
    <row r="15" spans="2:13">
      <c r="B15" s="32" t="s">
        <v>53</v>
      </c>
      <c r="D15" s="27">
        <f>PL!D39</f>
        <v>-1.3533471197719074</v>
      </c>
      <c r="E15" s="27">
        <f>PL!E39</f>
        <v>46.124405448912562</v>
      </c>
      <c r="F15" s="27">
        <f>PL!F39</f>
        <v>78.41601100741282</v>
      </c>
      <c r="G15" s="27">
        <f>PL!G39</f>
        <v>112.37434063903716</v>
      </c>
      <c r="H15" s="27">
        <f>PL!H39</f>
        <v>146.00912953494273</v>
      </c>
      <c r="I15" s="27">
        <f>PL!I39</f>
        <v>179.29331119459528</v>
      </c>
      <c r="J15" s="27">
        <f>PL!J39</f>
        <v>179.22464150005408</v>
      </c>
      <c r="K15" s="27">
        <f>PL!K39</f>
        <v>175.05587240831619</v>
      </c>
      <c r="L15" s="27">
        <f>PL!L39</f>
        <v>170.2975051536533</v>
      </c>
      <c r="M15" s="27">
        <f>PL!M39</f>
        <v>164.63809699059186</v>
      </c>
    </row>
    <row r="16" spans="2:13">
      <c r="B16" s="32" t="s">
        <v>180</v>
      </c>
    </row>
    <row r="17" spans="2:13">
      <c r="B17" s="32" t="s">
        <v>181</v>
      </c>
      <c r="D17" s="27">
        <f>PL!D41</f>
        <v>0</v>
      </c>
      <c r="E17" s="27">
        <f>PL!E41</f>
        <v>6.5522221629180528</v>
      </c>
      <c r="F17" s="27">
        <f>PL!F41</f>
        <v>17.942273780799471</v>
      </c>
      <c r="G17" s="27">
        <f>PL!G41</f>
        <v>27.138692543906394</v>
      </c>
      <c r="H17" s="27">
        <f>PL!H41</f>
        <v>36.144593404558286</v>
      </c>
      <c r="I17" s="27">
        <f>PL!I41</f>
        <v>44.976612000414946</v>
      </c>
      <c r="J17" s="27">
        <f>PL!J41</f>
        <v>45.34441232786218</v>
      </c>
      <c r="K17" s="27">
        <f>PL!K41</f>
        <v>44.583380751794543</v>
      </c>
      <c r="L17" s="27">
        <f>PL!L41</f>
        <v>43.660580280415239</v>
      </c>
      <c r="M17" s="27">
        <f>PL!M41</f>
        <v>42.472156822335222</v>
      </c>
    </row>
    <row r="18" spans="2:13">
      <c r="B18" s="32" t="s">
        <v>182</v>
      </c>
      <c r="D18" s="27">
        <f>PL!D42</f>
        <v>0</v>
      </c>
      <c r="E18" s="27">
        <f>PL!E42</f>
        <v>5.0563682004642612</v>
      </c>
      <c r="F18" s="27">
        <f>PL!F42</f>
        <v>1.7934678695461876</v>
      </c>
      <c r="G18" s="27">
        <f>PL!G42</f>
        <v>1.1436815081264804</v>
      </c>
      <c r="H18" s="27">
        <f>PL!H42</f>
        <v>0.60298431679610331</v>
      </c>
      <c r="I18" s="27">
        <f>PL!I42</f>
        <v>0.14792856104079277</v>
      </c>
      <c r="J18" s="27">
        <f>PL!J42</f>
        <v>-0.2371545551285692</v>
      </c>
      <c r="K18" s="27">
        <f>PL!K42</f>
        <v>-0.52531878406951904</v>
      </c>
      <c r="L18" s="27">
        <f>PL!L42</f>
        <v>-0.80010418334376965</v>
      </c>
      <c r="M18" s="27">
        <f>PL!M42</f>
        <v>-1.0360405717430581</v>
      </c>
    </row>
    <row r="19" spans="2:13">
      <c r="B19" s="32" t="s">
        <v>56</v>
      </c>
      <c r="D19" s="27">
        <f>PL!D43</f>
        <v>-1.3533471197719074</v>
      </c>
      <c r="E19" s="27">
        <f>PL!E43</f>
        <v>34.515815085530249</v>
      </c>
      <c r="F19" s="27">
        <f>PL!F43</f>
        <v>58.680269357067161</v>
      </c>
      <c r="G19" s="27">
        <f>PL!G43</f>
        <v>84.091966587004279</v>
      </c>
      <c r="H19" s="27">
        <f>PL!H43</f>
        <v>109.26155181358834</v>
      </c>
      <c r="I19" s="27">
        <f>PL!I43</f>
        <v>134.16877063313953</v>
      </c>
      <c r="J19" s="27">
        <f>PL!J43</f>
        <v>134.11738372732046</v>
      </c>
      <c r="K19" s="27">
        <f>PL!K43</f>
        <v>130.99781044059117</v>
      </c>
      <c r="L19" s="27">
        <f>PL!L43</f>
        <v>127.43702905658182</v>
      </c>
      <c r="M19" s="27">
        <f>PL!M43</f>
        <v>123.2019807399997</v>
      </c>
    </row>
    <row r="20" spans="2:13">
      <c r="B20" s="32" t="s">
        <v>114</v>
      </c>
      <c r="D20" s="253">
        <f>D19+D9+D18</f>
        <v>1.0522074144999922</v>
      </c>
      <c r="E20" s="253">
        <f t="shared" ref="E20:M20" si="0">E19+E9+E18</f>
        <v>49.194401423082113</v>
      </c>
      <c r="F20" s="253">
        <f t="shared" si="0"/>
        <v>70.095955363700952</v>
      </c>
      <c r="G20" s="253">
        <f t="shared" si="0"/>
        <v>94.857866232218356</v>
      </c>
      <c r="H20" s="253">
        <f t="shared" si="0"/>
        <v>119.48675426747204</v>
      </c>
      <c r="I20" s="253">
        <f t="shared" si="0"/>
        <v>143.93891733126793</v>
      </c>
      <c r="J20" s="253">
        <f t="shared" si="0"/>
        <v>143.50244730927949</v>
      </c>
      <c r="K20" s="253">
        <f t="shared" si="0"/>
        <v>139.94149488106657</v>
      </c>
      <c r="L20" s="253">
        <f t="shared" si="0"/>
        <v>136.09490450918801</v>
      </c>
      <c r="M20" s="253">
        <f t="shared" si="0"/>
        <v>131.62391980420659</v>
      </c>
    </row>
    <row r="21" spans="2:13">
      <c r="B21" s="32" t="s">
        <v>183</v>
      </c>
      <c r="D21" s="27">
        <f>BS!D7</f>
        <v>63.18624063333332</v>
      </c>
      <c r="E21" s="27">
        <f>BS!E7</f>
        <v>63.18624063333332</v>
      </c>
      <c r="F21" s="27">
        <f>BS!F7</f>
        <v>63.18624063333332</v>
      </c>
      <c r="G21" s="27">
        <f>BS!G7</f>
        <v>63.18624063333332</v>
      </c>
      <c r="H21" s="27">
        <f>BS!H7</f>
        <v>63.18624063333332</v>
      </c>
      <c r="I21" s="27">
        <f>BS!I7</f>
        <v>63.18624063333332</v>
      </c>
      <c r="J21" s="27">
        <f>BS!J7</f>
        <v>63.18624063333332</v>
      </c>
      <c r="K21" s="27">
        <f>BS!K7</f>
        <v>63.18624063333332</v>
      </c>
      <c r="L21" s="27">
        <f>BS!L7</f>
        <v>63.18624063333332</v>
      </c>
      <c r="M21" s="27">
        <f>BS!M7</f>
        <v>63.18624063333332</v>
      </c>
    </row>
    <row r="22" spans="2:13">
      <c r="B22" s="32" t="s">
        <v>59</v>
      </c>
      <c r="D22" s="27">
        <f>BS!D8</f>
        <v>-1.3533471197719074</v>
      </c>
      <c r="E22" s="27">
        <f>BS!E8</f>
        <v>33.162467965758339</v>
      </c>
      <c r="F22" s="27">
        <f>BS!F8</f>
        <v>91.842737322825499</v>
      </c>
      <c r="G22" s="27">
        <f>BS!G8</f>
        <v>175.93470390982978</v>
      </c>
      <c r="H22" s="27">
        <f>BS!H8</f>
        <v>285.19625572341812</v>
      </c>
      <c r="I22" s="27">
        <f>BS!I8</f>
        <v>419.36502635655768</v>
      </c>
      <c r="J22" s="27">
        <f>BS!J8</f>
        <v>553.48241008387811</v>
      </c>
      <c r="K22" s="27">
        <f>BS!K8</f>
        <v>684.48022052446925</v>
      </c>
      <c r="L22" s="27">
        <f>BS!L8</f>
        <v>811.91724958105101</v>
      </c>
      <c r="M22" s="27">
        <f>BS!M8</f>
        <v>935.11923032105074</v>
      </c>
    </row>
    <row r="23" spans="2:13">
      <c r="B23" s="32" t="s">
        <v>263</v>
      </c>
      <c r="D23" s="27">
        <f>BS!D9</f>
        <v>0</v>
      </c>
      <c r="E23" s="27">
        <f>BS!E9</f>
        <v>0</v>
      </c>
      <c r="F23" s="27">
        <f>BS!F9</f>
        <v>0</v>
      </c>
      <c r="G23" s="27">
        <f>BS!G9</f>
        <v>0</v>
      </c>
      <c r="H23" s="27">
        <f>BS!H9</f>
        <v>0</v>
      </c>
      <c r="I23" s="27">
        <f>BS!I9</f>
        <v>0</v>
      </c>
      <c r="J23" s="27">
        <f>BS!J9</f>
        <v>0</v>
      </c>
      <c r="K23" s="27">
        <f>BS!K9</f>
        <v>0</v>
      </c>
      <c r="L23" s="27">
        <f>BS!L9</f>
        <v>0</v>
      </c>
      <c r="M23" s="27">
        <f>BS!M9</f>
        <v>0</v>
      </c>
    </row>
    <row r="24" spans="2:13">
      <c r="B24" s="32" t="s">
        <v>108</v>
      </c>
      <c r="D24" s="27">
        <f>BS!D11+BS!D16</f>
        <v>115</v>
      </c>
      <c r="E24" s="27">
        <f>BS!E11+BS!E16</f>
        <v>104.21875</v>
      </c>
      <c r="F24" s="27">
        <f>BS!F11+BS!F16</f>
        <v>89.84375</v>
      </c>
      <c r="G24" s="27">
        <f>BS!G11+BS!G16</f>
        <v>75.46875</v>
      </c>
      <c r="H24" s="27">
        <f>BS!H11+BS!H16</f>
        <v>61.093750000000007</v>
      </c>
      <c r="I24" s="27">
        <f>BS!I11+BS!I16</f>
        <v>46.718750000000014</v>
      </c>
      <c r="J24" s="27">
        <f>BS!J11+BS!J16</f>
        <v>32.343750000000021</v>
      </c>
      <c r="K24" s="27">
        <f>BS!K11+BS!K16</f>
        <v>17.968750000000028</v>
      </c>
      <c r="L24" s="27">
        <f>BS!L11+BS!L16</f>
        <v>3.5937500000000338</v>
      </c>
      <c r="M24" s="27">
        <f>BS!M11+BS!M16</f>
        <v>3.4194869158454821E-14</v>
      </c>
    </row>
    <row r="25" spans="2:13">
      <c r="B25" s="32" t="s">
        <v>378</v>
      </c>
      <c r="D25" s="27">
        <f>BS!D13</f>
        <v>135.34247190000002</v>
      </c>
      <c r="E25" s="27">
        <f>BS!E13</f>
        <v>184.78382907499997</v>
      </c>
      <c r="F25" s="27">
        <f>BS!F13</f>
        <v>232.37974171249999</v>
      </c>
      <c r="G25" s="27">
        <f>BS!G13</f>
        <v>280.76904592812502</v>
      </c>
      <c r="H25" s="27">
        <f>BS!H13</f>
        <v>329.17148458203121</v>
      </c>
      <c r="I25" s="27">
        <f>BS!I13</f>
        <v>377.5881568023828</v>
      </c>
      <c r="J25" s="27">
        <f>BS!J13</f>
        <v>379.36769546437699</v>
      </c>
      <c r="K25" s="27">
        <f>BS!K13</f>
        <v>379.60144167415831</v>
      </c>
      <c r="L25" s="27">
        <f>BS!L13</f>
        <v>369.07210246433499</v>
      </c>
      <c r="M25" s="27">
        <f>BS!M13</f>
        <v>365.74998379091738</v>
      </c>
    </row>
    <row r="26" spans="2:13">
      <c r="B26" s="32" t="s">
        <v>96</v>
      </c>
      <c r="D26" s="27">
        <f>BS!D23</f>
        <v>151.80383661449997</v>
      </c>
      <c r="E26" s="27">
        <f>BS!E23</f>
        <v>236.06459521258205</v>
      </c>
      <c r="F26" s="27">
        <f>BS!F23</f>
        <v>339.38146321378304</v>
      </c>
      <c r="G26" s="27">
        <f>BS!G23</f>
        <v>468.2536336616264</v>
      </c>
      <c r="H26" s="27">
        <f>BS!H23</f>
        <v>621.76782658300465</v>
      </c>
      <c r="I26" s="27">
        <f>BS!I23</f>
        <v>799.74841613462422</v>
      </c>
      <c r="J26" s="27">
        <f>BS!J23</f>
        <v>930.65540210589779</v>
      </c>
      <c r="K26" s="27">
        <f>BS!K23</f>
        <v>1056.4556431967458</v>
      </c>
      <c r="L26" s="27">
        <f>BS!L23</f>
        <v>1178.4274584961104</v>
      </c>
      <c r="M26" s="27">
        <f>BS!M23</f>
        <v>1306.7292596268994</v>
      </c>
    </row>
    <row r="27" spans="2:13">
      <c r="B27" s="32" t="s">
        <v>60</v>
      </c>
      <c r="D27" s="27">
        <f>BS!D22</f>
        <v>149.59027879906145</v>
      </c>
      <c r="E27" s="27">
        <f>BS!E22</f>
        <v>139.96806066197385</v>
      </c>
      <c r="F27" s="27">
        <f>BS!F22</f>
        <v>130.34584252488622</v>
      </c>
      <c r="G27" s="27">
        <f>BS!G22</f>
        <v>120.72362438779865</v>
      </c>
      <c r="H27" s="27">
        <f>BS!H22</f>
        <v>111.10140625071105</v>
      </c>
      <c r="I27" s="27">
        <f>BS!I22</f>
        <v>101.47918811362345</v>
      </c>
      <c r="J27" s="27">
        <f>BS!J22</f>
        <v>91.856969976535851</v>
      </c>
      <c r="K27" s="27">
        <f>BS!K22</f>
        <v>82.387966751990916</v>
      </c>
      <c r="L27" s="27">
        <f>BS!L22</f>
        <v>72.929987116040962</v>
      </c>
      <c r="M27" s="27">
        <f>BS!M22</f>
        <v>63.472007480091023</v>
      </c>
    </row>
    <row r="28" spans="2:13">
      <c r="B28" s="32" t="s">
        <v>184</v>
      </c>
      <c r="D28" s="27">
        <f>D26/D25</f>
        <v>1.1216274868000247</v>
      </c>
      <c r="E28" s="27">
        <f t="shared" ref="E28:M28" si="1">E26/E25</f>
        <v>1.2775176074350547</v>
      </c>
      <c r="F28" s="27">
        <f t="shared" si="1"/>
        <v>1.4604606266998328</v>
      </c>
      <c r="G28" s="27">
        <f t="shared" si="1"/>
        <v>1.6677537657819166</v>
      </c>
      <c r="H28" s="27">
        <f t="shared" si="1"/>
        <v>1.8888872691159764</v>
      </c>
      <c r="I28" s="27">
        <f t="shared" si="1"/>
        <v>2.118044228154079</v>
      </c>
      <c r="J28" s="27">
        <f t="shared" si="1"/>
        <v>2.4531751470475096</v>
      </c>
      <c r="K28" s="27">
        <f t="shared" si="1"/>
        <v>2.7830654133910917</v>
      </c>
      <c r="L28" s="27">
        <f t="shared" si="1"/>
        <v>3.1929464476659728</v>
      </c>
      <c r="M28" s="27">
        <f t="shared" si="1"/>
        <v>3.5727390773416876</v>
      </c>
    </row>
    <row r="29" spans="2:13">
      <c r="B29" s="32" t="s">
        <v>379</v>
      </c>
      <c r="D29" s="27"/>
      <c r="E29" s="27"/>
      <c r="F29" s="27"/>
      <c r="G29" s="27"/>
      <c r="H29" s="27"/>
      <c r="I29" s="27"/>
      <c r="J29" s="27"/>
      <c r="K29" s="27"/>
      <c r="L29" s="27"/>
      <c r="M29" s="27"/>
    </row>
    <row r="30" spans="2:13">
      <c r="B30" s="32" t="s">
        <v>185</v>
      </c>
      <c r="D30" s="27">
        <f>D10/SUM(D12:D14)</f>
        <v>0.78889262213236078</v>
      </c>
      <c r="E30" s="27">
        <f t="shared" ref="E30:M30" si="2">E10/SUM(E12:E14)</f>
        <v>2.7505918262473972</v>
      </c>
      <c r="F30" s="27">
        <f t="shared" si="2"/>
        <v>3.6901642151472709</v>
      </c>
      <c r="G30" s="27">
        <f t="shared" si="2"/>
        <v>4.5065817669737172</v>
      </c>
      <c r="H30" s="27">
        <f t="shared" si="2"/>
        <v>5.1781592172562689</v>
      </c>
      <c r="I30" s="27">
        <f t="shared" si="2"/>
        <v>5.7373660611027324</v>
      </c>
      <c r="J30" s="27">
        <f t="shared" si="2"/>
        <v>5.8815567910498698</v>
      </c>
      <c r="K30" s="27">
        <f t="shared" si="2"/>
        <v>5.9583597407911064</v>
      </c>
      <c r="L30" s="27">
        <f t="shared" si="2"/>
        <v>6.0238323915207159</v>
      </c>
      <c r="M30" s="27">
        <f t="shared" si="2"/>
        <v>6.0046051575436632</v>
      </c>
    </row>
    <row r="31" spans="2:13">
      <c r="B31" s="32" t="s">
        <v>186</v>
      </c>
      <c r="D31" s="182">
        <f>D8/SUM(D12:D14)</f>
        <v>1.1641328710149537</v>
      </c>
      <c r="E31" s="182">
        <f t="shared" ref="E31:M31" si="3">E8/SUM(E12:E14)</f>
        <v>3.1157906024096631</v>
      </c>
      <c r="F31" s="182">
        <f t="shared" si="3"/>
        <v>4.0202670419830699</v>
      </c>
      <c r="G31" s="182">
        <f t="shared" si="3"/>
        <v>4.8068379863693576</v>
      </c>
      <c r="H31" s="182">
        <f t="shared" si="3"/>
        <v>5.4535061050020905</v>
      </c>
      <c r="I31" s="182">
        <f t="shared" si="3"/>
        <v>5.9916085051261554</v>
      </c>
      <c r="J31" s="182">
        <f t="shared" si="3"/>
        <v>6.1436379641459755</v>
      </c>
      <c r="K31" s="182">
        <f t="shared" si="3"/>
        <v>6.2265639645516933</v>
      </c>
      <c r="L31" s="182">
        <f t="shared" si="3"/>
        <v>6.3028459003243675</v>
      </c>
      <c r="M31" s="182">
        <f t="shared" si="3"/>
        <v>6.2921051622887552</v>
      </c>
    </row>
    <row r="32" spans="2:13">
      <c r="B32" s="32" t="s">
        <v>187</v>
      </c>
      <c r="D32" s="27">
        <f>D27</f>
        <v>149.59027879906145</v>
      </c>
      <c r="E32" s="27">
        <f t="shared" ref="E32:M32" si="4">E27</f>
        <v>139.96806066197385</v>
      </c>
      <c r="F32" s="27">
        <f t="shared" si="4"/>
        <v>130.34584252488622</v>
      </c>
      <c r="G32" s="27">
        <f t="shared" si="4"/>
        <v>120.72362438779865</v>
      </c>
      <c r="H32" s="27">
        <f t="shared" si="4"/>
        <v>111.10140625071105</v>
      </c>
      <c r="I32" s="27">
        <f t="shared" si="4"/>
        <v>101.47918811362345</v>
      </c>
      <c r="J32" s="27">
        <f t="shared" si="4"/>
        <v>91.856969976535851</v>
      </c>
      <c r="K32" s="27">
        <f t="shared" si="4"/>
        <v>82.387966751990916</v>
      </c>
      <c r="L32" s="27">
        <f t="shared" si="4"/>
        <v>72.929987116040962</v>
      </c>
      <c r="M32" s="27">
        <f t="shared" si="4"/>
        <v>63.472007480091023</v>
      </c>
    </row>
    <row r="33" spans="2:13">
      <c r="B33" s="32" t="s">
        <v>188</v>
      </c>
      <c r="D33" s="23">
        <f>D8/D32</f>
        <v>4.988901992772285E-2</v>
      </c>
      <c r="E33" s="23">
        <f t="shared" ref="E33:M33" si="5">E8/E32</f>
        <v>0.58652320973611505</v>
      </c>
      <c r="F33" s="23">
        <f t="shared" si="5"/>
        <v>0.89904964270438059</v>
      </c>
      <c r="G33" s="23">
        <f t="shared" si="5"/>
        <v>1.2759992095057466</v>
      </c>
      <c r="H33" s="23">
        <f t="shared" si="5"/>
        <v>1.7153441819792841</v>
      </c>
      <c r="I33" s="23">
        <f t="shared" si="5"/>
        <v>2.2345680662528502</v>
      </c>
      <c r="J33" s="23">
        <f t="shared" si="5"/>
        <v>2.4555731388754154</v>
      </c>
      <c r="K33" s="23">
        <f t="shared" si="5"/>
        <v>2.6682303532930418</v>
      </c>
      <c r="L33" s="23">
        <f t="shared" si="5"/>
        <v>2.9295687622345725</v>
      </c>
      <c r="M33" s="23">
        <f t="shared" si="5"/>
        <v>3.2611761432215389</v>
      </c>
    </row>
    <row r="34" spans="2:13">
      <c r="B34" s="32" t="s">
        <v>487</v>
      </c>
      <c r="D34" s="27">
        <f>D27/D24</f>
        <v>1.300785033035317</v>
      </c>
      <c r="E34" s="27">
        <f t="shared" ref="E34:M34" si="6">E27/E24</f>
        <v>1.3430218714192395</v>
      </c>
      <c r="F34" s="27">
        <f t="shared" si="6"/>
        <v>1.4508058994074293</v>
      </c>
      <c r="G34" s="27">
        <f t="shared" si="6"/>
        <v>1.5996505094863589</v>
      </c>
      <c r="H34" s="27">
        <f t="shared" si="6"/>
        <v>1.8185396419553725</v>
      </c>
      <c r="I34" s="27">
        <f t="shared" si="6"/>
        <v>2.1721297790207021</v>
      </c>
      <c r="J34" s="27">
        <f t="shared" si="6"/>
        <v>2.8400222601441016</v>
      </c>
      <c r="K34" s="27">
        <f t="shared" si="6"/>
        <v>4.5850694540238353</v>
      </c>
      <c r="L34" s="27">
        <f t="shared" si="6"/>
        <v>20.293561632289467</v>
      </c>
      <c r="M34" s="27">
        <f t="shared" si="6"/>
        <v>1856185124907761.5</v>
      </c>
    </row>
    <row r="35" spans="2:13">
      <c r="B35" s="32" t="s">
        <v>453</v>
      </c>
      <c r="D35" s="27"/>
      <c r="E35" s="27"/>
      <c r="F35" s="27"/>
      <c r="G35" s="27"/>
      <c r="H35" s="27"/>
      <c r="I35" s="27"/>
      <c r="J35" s="27"/>
      <c r="K35" s="27"/>
      <c r="L35" s="27"/>
      <c r="M35" s="27"/>
    </row>
    <row r="36" spans="2:13">
      <c r="B36" s="32" t="s">
        <v>190</v>
      </c>
      <c r="D36" s="27">
        <f>SUM(D21:D23)</f>
        <v>61.832893513561416</v>
      </c>
      <c r="E36" s="27">
        <f t="shared" ref="E36:M36" si="7">SUM(E21:E23)</f>
        <v>96.348708599091651</v>
      </c>
      <c r="F36" s="27">
        <f t="shared" si="7"/>
        <v>155.02897795615883</v>
      </c>
      <c r="G36" s="27">
        <f t="shared" si="7"/>
        <v>239.12094454316309</v>
      </c>
      <c r="H36" s="27">
        <f t="shared" si="7"/>
        <v>348.38249635675146</v>
      </c>
      <c r="I36" s="27">
        <f t="shared" si="7"/>
        <v>482.55126698989102</v>
      </c>
      <c r="J36" s="27">
        <f t="shared" si="7"/>
        <v>616.66865071721145</v>
      </c>
      <c r="K36" s="27">
        <f t="shared" si="7"/>
        <v>747.66646115780259</v>
      </c>
      <c r="L36" s="27">
        <f t="shared" si="7"/>
        <v>875.10349021438435</v>
      </c>
      <c r="M36" s="27">
        <f t="shared" si="7"/>
        <v>998.30547095438408</v>
      </c>
    </row>
    <row r="37" spans="2:13">
      <c r="B37" s="32" t="s">
        <v>191</v>
      </c>
      <c r="D37" s="27"/>
      <c r="E37" s="27"/>
      <c r="F37" s="27"/>
      <c r="G37" s="27"/>
      <c r="H37" s="27"/>
      <c r="I37" s="27"/>
      <c r="J37" s="27"/>
      <c r="K37" s="27"/>
      <c r="L37" s="27"/>
      <c r="M37" s="27"/>
    </row>
    <row r="38" spans="2:13">
      <c r="B38" s="32" t="s">
        <v>192</v>
      </c>
      <c r="D38" s="27"/>
      <c r="E38" s="27"/>
      <c r="F38" s="27"/>
      <c r="G38" s="27"/>
      <c r="H38" s="27"/>
      <c r="I38" s="27"/>
      <c r="J38" s="27"/>
      <c r="K38" s="27"/>
      <c r="L38" s="27"/>
      <c r="M38" s="27"/>
    </row>
    <row r="39" spans="2:13">
      <c r="B39" s="32" t="s">
        <v>193</v>
      </c>
      <c r="D39" s="182"/>
      <c r="E39" s="182"/>
      <c r="F39" s="182"/>
      <c r="G39" s="182"/>
      <c r="H39" s="182"/>
      <c r="I39" s="182"/>
      <c r="J39" s="182"/>
      <c r="K39" s="182"/>
      <c r="L39" s="182"/>
      <c r="M39" s="182"/>
    </row>
    <row r="40" spans="2:13">
      <c r="B40" s="32" t="s">
        <v>176</v>
      </c>
      <c r="D40" s="27">
        <f>D24/D36</f>
        <v>1.8598515040344632</v>
      </c>
      <c r="E40" s="27">
        <f t="shared" ref="E40:M40" si="8">E24/E36</f>
        <v>1.0816828945124288</v>
      </c>
      <c r="F40" s="27">
        <f t="shared" si="8"/>
        <v>0.57952875123389658</v>
      </c>
      <c r="G40" s="27">
        <f t="shared" si="8"/>
        <v>0.31560911631635569</v>
      </c>
      <c r="H40" s="27">
        <f t="shared" si="8"/>
        <v>0.17536400547930697</v>
      </c>
      <c r="I40" s="27">
        <f t="shared" si="8"/>
        <v>9.6816137881943903E-2</v>
      </c>
      <c r="J40" s="27">
        <f t="shared" si="8"/>
        <v>5.244915557549891E-2</v>
      </c>
      <c r="K40" s="27">
        <f t="shared" si="8"/>
        <v>2.4033109592978708E-2</v>
      </c>
      <c r="L40" s="27">
        <f t="shared" si="8"/>
        <v>4.1066571441963177E-3</v>
      </c>
      <c r="M40" s="27">
        <f t="shared" si="8"/>
        <v>3.4252911712248142E-17</v>
      </c>
    </row>
    <row r="41" spans="2:13">
      <c r="B41" s="32" t="s">
        <v>380</v>
      </c>
      <c r="D41" s="23">
        <f>D8/D5</f>
        <v>4.6384631372414435E-2</v>
      </c>
      <c r="E41" s="23">
        <f t="shared" ref="E41:M41" si="9">E8/E5</f>
        <v>8.3368684829336723E-2</v>
      </c>
      <c r="F41" s="23">
        <f t="shared" si="9"/>
        <v>9.3014975110418285E-2</v>
      </c>
      <c r="G41" s="23">
        <f t="shared" si="9"/>
        <v>9.9788392234773968E-2</v>
      </c>
      <c r="H41" s="23">
        <f t="shared" si="9"/>
        <v>0.10428174783302378</v>
      </c>
      <c r="I41" s="23">
        <f t="shared" si="9"/>
        <v>0.10740179320262834</v>
      </c>
      <c r="J41" s="23">
        <f t="shared" si="9"/>
        <v>0.10596362651973681</v>
      </c>
      <c r="K41" s="23">
        <f t="shared" si="9"/>
        <v>0.10327112997818548</v>
      </c>
      <c r="L41" s="23">
        <f t="shared" si="9"/>
        <v>0.10036947595489401</v>
      </c>
      <c r="M41" s="23">
        <f t="shared" si="9"/>
        <v>9.7240753310308584E-2</v>
      </c>
    </row>
    <row r="42" spans="2:13">
      <c r="B42" s="32" t="s">
        <v>194</v>
      </c>
      <c r="D42" s="23">
        <f>D19/D5</f>
        <v>-8.4115294277792661E-3</v>
      </c>
      <c r="E42" s="23">
        <f t="shared" ref="E42:M42" si="10">E19/E5</f>
        <v>3.5051526492743151E-2</v>
      </c>
      <c r="F42" s="23">
        <f t="shared" si="10"/>
        <v>4.6576206815146584E-2</v>
      </c>
      <c r="G42" s="23">
        <f t="shared" si="10"/>
        <v>5.4474325777925749E-2</v>
      </c>
      <c r="H42" s="23">
        <f t="shared" si="10"/>
        <v>5.9786734899395413E-2</v>
      </c>
      <c r="I42" s="23">
        <f t="shared" si="10"/>
        <v>6.3546611979770767E-2</v>
      </c>
      <c r="J42" s="23">
        <f t="shared" si="10"/>
        <v>6.3005272837752563E-2</v>
      </c>
      <c r="K42" s="23">
        <f t="shared" si="10"/>
        <v>6.1539768809823141E-2</v>
      </c>
      <c r="L42" s="23">
        <f t="shared" si="10"/>
        <v>5.9866995330501251E-2</v>
      </c>
      <c r="M42" s="23">
        <f t="shared" si="10"/>
        <v>5.7877466700791136E-2</v>
      </c>
    </row>
    <row r="43" spans="2:13">
      <c r="B43" s="32" t="s">
        <v>172</v>
      </c>
      <c r="D43" s="27">
        <f>Ratio!D14</f>
        <v>1.3659851876521711</v>
      </c>
      <c r="E43" s="27">
        <f>Ratio!E14</f>
        <v>2.7558730049654541</v>
      </c>
      <c r="F43" s="27">
        <f>Ratio!F14</f>
        <v>3.3141733570907612</v>
      </c>
      <c r="G43" s="27">
        <f>Ratio!G14</f>
        <v>4.5547987845838369</v>
      </c>
      <c r="H43" s="27">
        <f>Ratio!H14</f>
        <v>5.9573708718630929</v>
      </c>
      <c r="I43" s="27">
        <f>Ratio!I14</f>
        <v>7.5550124183408363</v>
      </c>
      <c r="J43" s="27">
        <f>Ratio!J14</f>
        <v>8.0453168182386161</v>
      </c>
      <c r="K43" s="27">
        <f>Ratio!K14</f>
        <v>8.434094054013201</v>
      </c>
      <c r="L43" s="27">
        <f>Ratio!L14</f>
        <v>8.8767177842144012</v>
      </c>
      <c r="M43" s="27">
        <f>Ratio!M14</f>
        <v>9.0557497235311359</v>
      </c>
    </row>
    <row r="44" spans="2:13">
      <c r="B44" s="2" t="s">
        <v>173</v>
      </c>
      <c r="D44" s="89">
        <f>Ratio!C15</f>
        <v>5.8939785828055653</v>
      </c>
      <c r="E44" s="27"/>
    </row>
    <row r="45" spans="2:13">
      <c r="B45" s="2" t="s">
        <v>174</v>
      </c>
      <c r="D45" s="89">
        <f>Ratio!C16</f>
        <v>1.3659851876521711</v>
      </c>
      <c r="E45" s="27"/>
    </row>
    <row r="46" spans="2:13">
      <c r="B46" s="2" t="s">
        <v>215</v>
      </c>
      <c r="D46" s="152">
        <f>AVERAGE(D41:M41)</f>
        <v>9.410852103457204E-2</v>
      </c>
    </row>
    <row r="47" spans="2:13">
      <c r="B47" s="44" t="s">
        <v>216</v>
      </c>
      <c r="C47" s="44"/>
      <c r="D47" s="183">
        <f>AVERAGE(D42:M42)</f>
        <v>4.9331338021607052E-2</v>
      </c>
      <c r="E47" s="44"/>
      <c r="F47" s="44"/>
      <c r="G47" s="44"/>
      <c r="H47" s="44"/>
      <c r="I47" s="44"/>
      <c r="J47" s="44"/>
      <c r="K47" s="44"/>
      <c r="L47" s="44"/>
      <c r="M47" s="44"/>
    </row>
    <row r="50" spans="2:13">
      <c r="B50" s="37" t="s">
        <v>218</v>
      </c>
      <c r="C50" s="93"/>
      <c r="D50" s="93">
        <f>D4</f>
        <v>44286</v>
      </c>
      <c r="E50" s="93">
        <f t="shared" ref="E50:M50" si="11">E4</f>
        <v>44651</v>
      </c>
      <c r="F50" s="93">
        <f t="shared" si="11"/>
        <v>45016</v>
      </c>
      <c r="G50" s="93">
        <f t="shared" si="11"/>
        <v>45382</v>
      </c>
      <c r="H50" s="93">
        <f t="shared" si="11"/>
        <v>45747</v>
      </c>
      <c r="I50" s="93">
        <f t="shared" si="11"/>
        <v>46112</v>
      </c>
      <c r="J50" s="93">
        <f t="shared" si="11"/>
        <v>46477</v>
      </c>
      <c r="K50" s="93">
        <f t="shared" si="11"/>
        <v>46843</v>
      </c>
      <c r="L50" s="93">
        <f t="shared" si="11"/>
        <v>47208</v>
      </c>
      <c r="M50" s="93">
        <f t="shared" si="11"/>
        <v>47573</v>
      </c>
    </row>
    <row r="51" spans="2:13">
      <c r="B51" s="2" t="s">
        <v>219</v>
      </c>
      <c r="D51" s="89"/>
      <c r="E51" s="27"/>
      <c r="F51" s="27"/>
      <c r="G51" s="27"/>
      <c r="H51" s="27"/>
      <c r="I51" s="27"/>
      <c r="J51" s="27"/>
      <c r="K51" s="27"/>
      <c r="L51" s="27"/>
      <c r="M51" s="27"/>
    </row>
    <row r="52" spans="2:13">
      <c r="B52" s="2" t="s">
        <v>220</v>
      </c>
      <c r="D52" s="89"/>
      <c r="E52" s="89"/>
      <c r="F52" s="89"/>
      <c r="G52" s="89"/>
      <c r="H52" s="89"/>
      <c r="I52" s="89"/>
      <c r="J52" s="89"/>
      <c r="K52" s="89"/>
      <c r="L52" s="89"/>
      <c r="M52" s="89"/>
    </row>
    <row r="53" spans="2:13">
      <c r="B53" s="2" t="s">
        <v>221</v>
      </c>
      <c r="D53" s="89"/>
      <c r="E53" s="89"/>
      <c r="F53" s="89"/>
      <c r="G53" s="89"/>
      <c r="H53" s="89"/>
      <c r="I53" s="89"/>
      <c r="J53" s="89"/>
      <c r="K53" s="89"/>
      <c r="L53" s="89"/>
      <c r="M53" s="89"/>
    </row>
    <row r="54" spans="2:13">
      <c r="B54" s="2" t="s">
        <v>222</v>
      </c>
      <c r="D54" s="89"/>
      <c r="E54" s="89"/>
      <c r="F54" s="89"/>
      <c r="G54" s="89"/>
      <c r="H54" s="89"/>
      <c r="I54" s="89"/>
      <c r="J54" s="89"/>
      <c r="K54" s="89"/>
      <c r="L54" s="89"/>
      <c r="M54" s="89"/>
    </row>
    <row r="55" spans="2:13">
      <c r="B55" s="44" t="s">
        <v>223</v>
      </c>
      <c r="C55" s="44"/>
      <c r="D55" s="154"/>
      <c r="E55" s="154"/>
      <c r="F55" s="154"/>
      <c r="G55" s="154"/>
      <c r="H55" s="154"/>
      <c r="I55" s="154"/>
      <c r="J55" s="154"/>
      <c r="K55" s="154"/>
      <c r="L55" s="154"/>
      <c r="M55" s="154"/>
    </row>
    <row r="57" spans="2:13">
      <c r="B57" s="37" t="s">
        <v>224</v>
      </c>
      <c r="C57" s="93"/>
      <c r="D57" s="93">
        <f>D50</f>
        <v>44286</v>
      </c>
      <c r="E57" s="93">
        <f t="shared" ref="E57:M57" si="12">E50</f>
        <v>44651</v>
      </c>
      <c r="F57" s="93">
        <f t="shared" si="12"/>
        <v>45016</v>
      </c>
      <c r="G57" s="93">
        <f t="shared" si="12"/>
        <v>45382</v>
      </c>
      <c r="H57" s="93">
        <f t="shared" si="12"/>
        <v>45747</v>
      </c>
      <c r="I57" s="93">
        <f t="shared" si="12"/>
        <v>46112</v>
      </c>
      <c r="J57" s="93">
        <f t="shared" si="12"/>
        <v>46477</v>
      </c>
      <c r="K57" s="93">
        <f t="shared" si="12"/>
        <v>46843</v>
      </c>
      <c r="L57" s="93">
        <f t="shared" si="12"/>
        <v>47208</v>
      </c>
      <c r="M57" s="93">
        <f t="shared" si="12"/>
        <v>47573</v>
      </c>
    </row>
    <row r="58" spans="2:13">
      <c r="B58" s="2" t="s">
        <v>225</v>
      </c>
      <c r="D58" s="27"/>
      <c r="E58" s="27"/>
      <c r="F58" s="27"/>
      <c r="G58" s="27"/>
      <c r="H58" s="27"/>
      <c r="I58" s="27"/>
      <c r="J58" s="27"/>
      <c r="K58" s="27"/>
      <c r="L58" s="27"/>
      <c r="M58" s="27"/>
    </row>
    <row r="59" spans="2:13">
      <c r="B59" s="2" t="s">
        <v>226</v>
      </c>
      <c r="D59" s="27"/>
      <c r="E59" s="27"/>
      <c r="F59" s="27"/>
      <c r="G59" s="27"/>
      <c r="H59" s="27"/>
      <c r="I59" s="27"/>
      <c r="J59" s="27"/>
      <c r="K59" s="27"/>
      <c r="L59" s="27"/>
      <c r="M59" s="27"/>
    </row>
    <row r="60" spans="2:13">
      <c r="B60" s="2" t="s">
        <v>227</v>
      </c>
      <c r="D60" s="25"/>
      <c r="E60" s="25"/>
      <c r="F60" s="25"/>
      <c r="G60" s="25"/>
      <c r="H60" s="25"/>
      <c r="I60" s="25"/>
      <c r="J60" s="25"/>
      <c r="K60" s="25"/>
      <c r="L60" s="25"/>
      <c r="M60" s="25"/>
    </row>
    <row r="61" spans="2:13">
      <c r="B61" s="44" t="s">
        <v>228</v>
      </c>
      <c r="C61" s="44"/>
      <c r="D61" s="184"/>
      <c r="E61" s="184"/>
      <c r="F61" s="184"/>
      <c r="G61" s="184"/>
      <c r="H61" s="184"/>
      <c r="I61" s="184"/>
      <c r="J61" s="184"/>
      <c r="K61" s="184"/>
      <c r="L61" s="184"/>
      <c r="M61" s="184"/>
    </row>
  </sheetData>
  <pageMargins left="0.7" right="0.7" top="0.75" bottom="0.75" header="0.3" footer="0.3"/>
  <pageSetup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2060"/>
  </sheetPr>
  <dimension ref="D2:H46"/>
  <sheetViews>
    <sheetView showGridLines="0" zoomScale="190" zoomScaleNormal="190" workbookViewId="0">
      <selection activeCell="I18" sqref="I18"/>
    </sheetView>
  </sheetViews>
  <sheetFormatPr baseColWidth="10" defaultColWidth="9.1640625" defaultRowHeight="13"/>
  <cols>
    <col min="1" max="2" width="9.1640625" style="2"/>
    <col min="3" max="3" width="7.33203125" style="2" customWidth="1"/>
    <col min="4" max="4" width="35.1640625" style="2" customWidth="1"/>
    <col min="5" max="6" width="9.1640625" style="2"/>
    <col min="7" max="8" width="10.33203125" style="2" bestFit="1" customWidth="1"/>
    <col min="9" max="16384" width="9.1640625" style="2"/>
  </cols>
  <sheetData>
    <row r="2" spans="4:8">
      <c r="D2" s="37" t="s">
        <v>211</v>
      </c>
    </row>
    <row r="4" spans="4:8" ht="15.75" customHeight="1">
      <c r="D4" s="37" t="s">
        <v>134</v>
      </c>
      <c r="E4" s="37" t="s">
        <v>205</v>
      </c>
      <c r="F4" s="37" t="s">
        <v>375</v>
      </c>
      <c r="G4" s="37" t="s">
        <v>206</v>
      </c>
      <c r="H4" s="37" t="s">
        <v>207</v>
      </c>
    </row>
    <row r="5" spans="4:8">
      <c r="D5" s="120" t="s">
        <v>209</v>
      </c>
      <c r="E5" s="120"/>
      <c r="F5" s="189">
        <f>Ratio!C32</f>
        <v>0.58365601554675961</v>
      </c>
      <c r="G5" s="142">
        <f>Ratio!C15</f>
        <v>5.8939785828055653</v>
      </c>
      <c r="H5" s="142">
        <f>Ratio!C16</f>
        <v>1.3659851876521711</v>
      </c>
    </row>
    <row r="6" spans="4:8">
      <c r="D6" s="32" t="s">
        <v>415</v>
      </c>
      <c r="E6" s="222"/>
      <c r="F6" s="23">
        <f>E19</f>
        <v>0.5615503406502993</v>
      </c>
      <c r="G6" s="27">
        <f t="shared" ref="G6:H6" si="0">F19</f>
        <v>5.9019213275561748</v>
      </c>
      <c r="H6" s="27">
        <f t="shared" si="0"/>
        <v>1.3659851876521716</v>
      </c>
    </row>
    <row r="7" spans="4:8">
      <c r="D7" s="32" t="s">
        <v>416</v>
      </c>
      <c r="E7" s="222"/>
      <c r="F7" s="23">
        <f>E24</f>
        <v>0.42644403915772022</v>
      </c>
      <c r="G7" s="27">
        <f t="shared" ref="G7:H7" si="1">F24</f>
        <v>4.2393924503213816</v>
      </c>
      <c r="H7" s="27">
        <f t="shared" si="1"/>
        <v>-5.8624207313034617E-2</v>
      </c>
    </row>
    <row r="8" spans="4:8">
      <c r="D8" s="32" t="s">
        <v>418</v>
      </c>
      <c r="E8" s="222"/>
      <c r="F8" s="23">
        <f>E29</f>
        <v>0.48715344340564526</v>
      </c>
      <c r="G8" s="27">
        <f t="shared" ref="G8:H8" si="2">F29</f>
        <v>4.869410790947641</v>
      </c>
      <c r="H8" s="27">
        <f t="shared" si="2"/>
        <v>0.46865029308694978</v>
      </c>
    </row>
    <row r="9" spans="4:8">
      <c r="D9" s="32" t="s">
        <v>419</v>
      </c>
      <c r="E9" s="222"/>
      <c r="F9" s="23">
        <f>E34</f>
        <v>0.27724874478065709</v>
      </c>
      <c r="G9" s="27">
        <f t="shared" ref="G9:H9" si="3">F34</f>
        <v>2.7868169457623737</v>
      </c>
      <c r="H9" s="27">
        <f t="shared" si="3"/>
        <v>-1.2177259590869607</v>
      </c>
    </row>
    <row r="10" spans="4:8">
      <c r="D10" s="32" t="s">
        <v>420</v>
      </c>
      <c r="E10" s="222"/>
      <c r="F10" s="23">
        <f>E38</f>
        <v>0.56591949589496227</v>
      </c>
      <c r="G10" s="27">
        <f t="shared" ref="G10:H10" si="4">F38</f>
        <v>5.4042638890945076</v>
      </c>
      <c r="H10" s="27">
        <f t="shared" si="4"/>
        <v>1.0244496536231862</v>
      </c>
    </row>
    <row r="11" spans="4:8">
      <c r="D11" s="42" t="s">
        <v>421</v>
      </c>
      <c r="E11" s="223"/>
      <c r="F11" s="224">
        <f>E44</f>
        <v>0.50170062266344728</v>
      </c>
      <c r="G11" s="144">
        <f t="shared" ref="G11:H11" si="5">F44</f>
        <v>5.2012369963506915</v>
      </c>
      <c r="H11" s="144">
        <f t="shared" si="5"/>
        <v>0.49342899695651649</v>
      </c>
    </row>
    <row r="14" spans="4:8">
      <c r="E14" s="109" t="s">
        <v>375</v>
      </c>
      <c r="F14" s="109" t="s">
        <v>206</v>
      </c>
      <c r="G14" s="109" t="s">
        <v>207</v>
      </c>
    </row>
    <row r="16" spans="4:8">
      <c r="D16" s="2" t="s">
        <v>208</v>
      </c>
      <c r="E16" s="23">
        <f>F5</f>
        <v>0.58365601554675961</v>
      </c>
      <c r="F16" s="26">
        <f>G5</f>
        <v>5.8939785828055653</v>
      </c>
      <c r="G16" s="26">
        <f>H5</f>
        <v>1.3659851876521711</v>
      </c>
    </row>
    <row r="17" spans="4:7">
      <c r="D17" s="23">
        <v>0.03</v>
      </c>
      <c r="E17" s="161">
        <f t="dataTable" ref="E17:G19" dt2D="0" dtr="0" r1="E6"/>
        <v>0.57017298596752108</v>
      </c>
      <c r="F17" s="26">
        <v>5.8987442296559323</v>
      </c>
      <c r="G17" s="26">
        <v>1.3659851876521711</v>
      </c>
    </row>
    <row r="18" spans="4:7">
      <c r="D18" s="23">
        <v>0.04</v>
      </c>
      <c r="E18" s="161">
        <v>0.56582636540955966</v>
      </c>
      <c r="F18" s="26">
        <v>5.900332778606054</v>
      </c>
      <c r="G18" s="26">
        <v>1.3659851876521714</v>
      </c>
    </row>
    <row r="19" spans="4:7">
      <c r="D19" s="23">
        <v>0.05</v>
      </c>
      <c r="E19" s="161">
        <v>0.5615503406502993</v>
      </c>
      <c r="F19" s="26">
        <v>5.9019213275561748</v>
      </c>
      <c r="G19" s="26">
        <v>1.3659851876521716</v>
      </c>
    </row>
    <row r="21" spans="4:7">
      <c r="D21" s="2" t="s">
        <v>210</v>
      </c>
      <c r="E21" s="23">
        <f>F5</f>
        <v>0.58365601554675961</v>
      </c>
      <c r="F21" s="26">
        <f>G5</f>
        <v>5.8939785828055653</v>
      </c>
      <c r="G21" s="26">
        <f>H5</f>
        <v>1.3659851876521711</v>
      </c>
    </row>
    <row r="22" spans="4:7">
      <c r="D22" s="23">
        <v>0.03</v>
      </c>
      <c r="E22" s="23">
        <f t="dataTable" ref="E22:G24" dt2D="0" dtr="0" r1="E7" ca="1"/>
        <v>0.49027553139629587</v>
      </c>
      <c r="F22" s="26">
        <v>4.901226903315048</v>
      </c>
      <c r="G22" s="26">
        <v>0.51121955067303804</v>
      </c>
    </row>
    <row r="23" spans="4:7">
      <c r="D23" s="23">
        <v>0.04</v>
      </c>
      <c r="E23" s="23">
        <v>0.45869960458164516</v>
      </c>
      <c r="F23" s="26">
        <v>4.570309676818213</v>
      </c>
      <c r="G23" s="26">
        <v>0.22629767168001705</v>
      </c>
    </row>
    <row r="24" spans="4:7">
      <c r="D24" s="23">
        <v>0.05</v>
      </c>
      <c r="E24" s="23">
        <v>0.42644403915772022</v>
      </c>
      <c r="F24" s="26">
        <v>4.2393924503213816</v>
      </c>
      <c r="G24" s="26">
        <v>-5.8624207313034617E-2</v>
      </c>
    </row>
    <row r="26" spans="4:7">
      <c r="D26" s="2" t="s">
        <v>417</v>
      </c>
      <c r="E26" s="23">
        <f>F5</f>
        <v>0.58365601554675961</v>
      </c>
      <c r="F26" s="26">
        <f t="shared" ref="F26:G26" si="6">G5</f>
        <v>5.8939785828055653</v>
      </c>
      <c r="G26" s="26">
        <f t="shared" si="6"/>
        <v>1.3659851876521711</v>
      </c>
    </row>
    <row r="27" spans="4:7">
      <c r="D27" s="23">
        <v>0.03</v>
      </c>
      <c r="E27" s="23">
        <f t="dataTable" ref="E27:G29" dt2D="0" dtr="0" r1="E8" ca="1"/>
        <v>0.52595925926273956</v>
      </c>
      <c r="F27" s="26">
        <v>5.2792379076908151</v>
      </c>
      <c r="G27" s="26">
        <v>0.82758425091304688</v>
      </c>
    </row>
    <row r="28" spans="4:7">
      <c r="D28" s="23">
        <v>0.04</v>
      </c>
      <c r="E28" s="23">
        <v>0.50659970347810268</v>
      </c>
      <c r="F28" s="26">
        <v>5.0743243493192258</v>
      </c>
      <c r="G28" s="26">
        <v>0.64811727199999825</v>
      </c>
    </row>
    <row r="29" spans="4:7">
      <c r="D29" s="23">
        <v>0.05</v>
      </c>
      <c r="E29" s="23">
        <v>0.48715344340564526</v>
      </c>
      <c r="F29" s="26">
        <v>4.869410790947641</v>
      </c>
      <c r="G29" s="26">
        <v>0.46865029308694978</v>
      </c>
    </row>
    <row r="31" spans="4:7">
      <c r="D31" s="2" t="s">
        <v>422</v>
      </c>
      <c r="E31" s="23">
        <f>F5</f>
        <v>0.58365601554675961</v>
      </c>
      <c r="F31" s="26">
        <f t="shared" ref="F31:G31" si="7">G5</f>
        <v>5.8939785828055653</v>
      </c>
      <c r="G31" s="26">
        <f t="shared" si="7"/>
        <v>1.3659851876521711</v>
      </c>
    </row>
    <row r="32" spans="4:7">
      <c r="D32" s="23">
        <v>-0.03</v>
      </c>
      <c r="E32" s="23">
        <f t="dataTable" ref="E32:G34" dt2D="0" dtr="0" r1="E9" ca="1"/>
        <v>0.40588365182613217</v>
      </c>
      <c r="F32" s="26">
        <v>4.0296816005796456</v>
      </c>
      <c r="G32" s="26">
        <v>-0.18424150039130785</v>
      </c>
    </row>
    <row r="33" spans="4:7">
      <c r="D33" s="23">
        <v>-0.04</v>
      </c>
      <c r="E33" s="23">
        <v>0.34312222256918212</v>
      </c>
      <c r="F33" s="26">
        <v>3.4082492731710103</v>
      </c>
      <c r="G33" s="26">
        <v>-0.70098372973913381</v>
      </c>
    </row>
    <row r="34" spans="4:7">
      <c r="D34" s="23">
        <v>-0.05</v>
      </c>
      <c r="E34" s="23">
        <v>0.27724874478065709</v>
      </c>
      <c r="F34" s="26">
        <v>2.7868169457623737</v>
      </c>
      <c r="G34" s="26">
        <v>-1.2177259590869607</v>
      </c>
    </row>
    <row r="36" spans="4:7">
      <c r="D36" s="2" t="s">
        <v>423</v>
      </c>
      <c r="E36" s="23">
        <f>F5</f>
        <v>0.58365601554675961</v>
      </c>
      <c r="F36" s="26">
        <f t="shared" ref="F36:G36" si="8">G5</f>
        <v>5.8939785828055653</v>
      </c>
      <c r="G36" s="26">
        <f t="shared" si="8"/>
        <v>1.3659851876521711</v>
      </c>
    </row>
    <row r="37" spans="4:7">
      <c r="D37" s="23">
        <v>0.01</v>
      </c>
      <c r="E37" s="23">
        <f t="dataTable" ref="E37:G39" dt2D="0" dtr="0" r1="E10" ca="1"/>
        <v>0.57477605111495844</v>
      </c>
      <c r="F37" s="26">
        <v>5.6417509479175978</v>
      </c>
      <c r="G37" s="26">
        <v>1.179693078181816</v>
      </c>
    </row>
    <row r="38" spans="4:7">
      <c r="D38" s="23">
        <v>0.02</v>
      </c>
      <c r="E38" s="23">
        <v>0.56591949589496227</v>
      </c>
      <c r="F38" s="26">
        <v>5.4042638890945076</v>
      </c>
      <c r="G38" s="26">
        <v>1.0244496536231862</v>
      </c>
    </row>
    <row r="39" spans="4:7">
      <c r="D39" s="23">
        <v>0.03</v>
      </c>
      <c r="E39" s="23">
        <v>0.55708509616354807</v>
      </c>
      <c r="F39" s="26">
        <v>5.1802618998575882</v>
      </c>
      <c r="G39" s="26">
        <v>0.89308983284280752</v>
      </c>
    </row>
    <row r="41" spans="4:7">
      <c r="D41" s="2" t="s">
        <v>424</v>
      </c>
      <c r="E41" s="23">
        <f>F5</f>
        <v>0.58365601554675961</v>
      </c>
      <c r="F41" s="26">
        <f t="shared" ref="F41:G41" si="9">G5</f>
        <v>5.8939785828055653</v>
      </c>
      <c r="G41" s="26">
        <f t="shared" si="9"/>
        <v>1.3659851876521711</v>
      </c>
    </row>
    <row r="42" spans="4:7">
      <c r="D42" s="23">
        <v>-0.03</v>
      </c>
      <c r="E42" s="23">
        <f t="dataTable" ref="E42:G44" dt2D="0" dtr="0" r1="E11" ca="1"/>
        <v>0.53405891608611777</v>
      </c>
      <c r="F42" s="26">
        <v>5.4783336309326343</v>
      </c>
      <c r="G42" s="26">
        <v>0.84245147323477054</v>
      </c>
    </row>
    <row r="43" spans="4:7">
      <c r="D43" s="23">
        <v>-0.04</v>
      </c>
      <c r="E43" s="23">
        <v>0.51781115334430972</v>
      </c>
      <c r="F43" s="26">
        <v>5.3397853136416584</v>
      </c>
      <c r="G43" s="26">
        <v>0.66794023509564349</v>
      </c>
    </row>
    <row r="44" spans="4:7">
      <c r="D44" s="23">
        <v>-0.05</v>
      </c>
      <c r="E44" s="23">
        <v>0.50170062266344728</v>
      </c>
      <c r="F44" s="26">
        <v>5.2012369963506915</v>
      </c>
      <c r="G44" s="26">
        <v>0.49342899695651649</v>
      </c>
    </row>
    <row r="46" spans="4:7" ht="14">
      <c r="F46" s="3"/>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F7CB8-CA46-0F40-AD3C-104627387C14}">
  <sheetPr>
    <tabColor rgb="FF002060"/>
  </sheetPr>
  <dimension ref="B2:H18"/>
  <sheetViews>
    <sheetView zoomScale="230" zoomScaleNormal="230" workbookViewId="0">
      <selection activeCell="F15" sqref="F15"/>
    </sheetView>
  </sheetViews>
  <sheetFormatPr baseColWidth="10" defaultRowHeight="15"/>
  <sheetData>
    <row r="2" spans="2:8">
      <c r="C2">
        <v>100000</v>
      </c>
    </row>
    <row r="3" spans="2:8">
      <c r="C3">
        <v>3</v>
      </c>
    </row>
    <row r="4" spans="2:8">
      <c r="C4" s="242">
        <v>0.1</v>
      </c>
    </row>
    <row r="5" spans="2:8">
      <c r="B5" t="s">
        <v>486</v>
      </c>
      <c r="C5" s="310">
        <f>PMT(C4/12,C3*12,-C2)</f>
        <v>3226.7187193837485</v>
      </c>
    </row>
    <row r="7" spans="2:8">
      <c r="C7" s="311">
        <f>C5</f>
        <v>3226.7187193837485</v>
      </c>
      <c r="D7">
        <v>2</v>
      </c>
      <c r="E7">
        <v>3</v>
      </c>
      <c r="F7">
        <v>4</v>
      </c>
      <c r="G7">
        <v>5</v>
      </c>
      <c r="H7">
        <v>6</v>
      </c>
    </row>
    <row r="8" spans="2:8">
      <c r="C8" s="242">
        <v>0.09</v>
      </c>
      <c r="D8" s="247">
        <f t="dataTable" ref="D8:H11" dt2D="1" dtr="1" r1="C3" r2="C4" ca="1"/>
        <v>4568.4742279173097</v>
      </c>
      <c r="E8" s="247">
        <v>3179.9732659940687</v>
      </c>
      <c r="F8" s="247">
        <v>2488.5042373934211</v>
      </c>
      <c r="G8" s="247">
        <v>2075.835522635401</v>
      </c>
      <c r="H8" s="247">
        <v>1802.5537168271833</v>
      </c>
    </row>
    <row r="9" spans="2:8">
      <c r="C9" s="242">
        <v>0.1</v>
      </c>
      <c r="D9" s="247">
        <v>4614.4926337516508</v>
      </c>
      <c r="E9" s="247">
        <v>3226.7187193837485</v>
      </c>
      <c r="F9" s="247">
        <v>2536.2583434747189</v>
      </c>
      <c r="G9" s="247">
        <v>2124.7044711268277</v>
      </c>
      <c r="H9" s="247">
        <v>1852.5837775770478</v>
      </c>
    </row>
    <row r="10" spans="2:8">
      <c r="C10" s="242">
        <v>0.11</v>
      </c>
      <c r="D10" s="247">
        <v>4660.7838196525063</v>
      </c>
      <c r="E10" s="247">
        <v>3273.8717117002043</v>
      </c>
      <c r="F10" s="247">
        <v>2584.5522611452816</v>
      </c>
      <c r="G10" s="247">
        <v>2174.242307264331</v>
      </c>
      <c r="H10" s="247">
        <v>1903.4079000705801</v>
      </c>
    </row>
    <row r="11" spans="2:8">
      <c r="C11" s="242">
        <v>0.12</v>
      </c>
      <c r="D11" s="247">
        <v>4707.3472223264698</v>
      </c>
      <c r="E11" s="247">
        <v>3321.4309812851193</v>
      </c>
      <c r="F11" s="247">
        <v>2633.3835431927764</v>
      </c>
      <c r="G11" s="247">
        <v>2224.4447684901775</v>
      </c>
      <c r="H11" s="247">
        <v>1955.0192502699042</v>
      </c>
    </row>
    <row r="14" spans="2:8">
      <c r="D14" s="310">
        <f>C5</f>
        <v>3226.7187193837485</v>
      </c>
    </row>
    <row r="15" spans="2:8">
      <c r="C15" s="242">
        <v>0.09</v>
      </c>
      <c r="D15">
        <f t="dataTable" ref="D15:D18" dt2D="0" dtr="0" r1="C4"/>
        <v>3179.9732659940687</v>
      </c>
    </row>
    <row r="16" spans="2:8">
      <c r="C16" s="242">
        <v>0.1</v>
      </c>
      <c r="D16">
        <v>3226.7187193837485</v>
      </c>
    </row>
    <row r="17" spans="3:4">
      <c r="C17" s="242">
        <v>0.11</v>
      </c>
      <c r="D17">
        <v>3273.8717117002043</v>
      </c>
    </row>
    <row r="18" spans="3:4">
      <c r="C18" s="242">
        <v>0.12</v>
      </c>
      <c r="D18">
        <v>3321.4309812851193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77A33-B9DF-EC49-9650-E09754DA0B4D}">
  <sheetPr>
    <tabColor rgb="FF002060"/>
  </sheetPr>
  <dimension ref="A1:J43"/>
  <sheetViews>
    <sheetView topLeftCell="A18" zoomScale="240" zoomScaleNormal="240" workbookViewId="0">
      <selection activeCell="E23" sqref="E23"/>
    </sheetView>
  </sheetViews>
  <sheetFormatPr baseColWidth="10" defaultRowHeight="15"/>
  <cols>
    <col min="2" max="2" width="14.6640625" bestFit="1" customWidth="1"/>
    <col min="3" max="3" width="16.83203125" bestFit="1" customWidth="1"/>
    <col min="5" max="5" width="12.6640625" customWidth="1"/>
  </cols>
  <sheetData>
    <row r="1" spans="1:10">
      <c r="C1" t="s">
        <v>466</v>
      </c>
      <c r="E1" t="s">
        <v>467</v>
      </c>
      <c r="I1" t="s">
        <v>468</v>
      </c>
      <c r="J1" t="s">
        <v>469</v>
      </c>
    </row>
    <row r="2" spans="1:10">
      <c r="B2" t="s">
        <v>460</v>
      </c>
      <c r="C2">
        <v>1000</v>
      </c>
      <c r="E2">
        <v>1000</v>
      </c>
      <c r="H2">
        <v>1000</v>
      </c>
      <c r="I2" s="242">
        <v>0.2</v>
      </c>
      <c r="J2" s="242">
        <v>0.3</v>
      </c>
    </row>
    <row r="3" spans="1:10">
      <c r="B3" t="s">
        <v>461</v>
      </c>
      <c r="C3">
        <v>500</v>
      </c>
      <c r="E3">
        <v>500</v>
      </c>
      <c r="H3">
        <f>200</f>
        <v>200</v>
      </c>
    </row>
    <row r="4" spans="1:10">
      <c r="B4" t="s">
        <v>50</v>
      </c>
      <c r="C4">
        <f>C2-C3</f>
        <v>500</v>
      </c>
      <c r="E4">
        <f>E2-E3</f>
        <v>500</v>
      </c>
    </row>
    <row r="5" spans="1:10">
      <c r="B5" t="s">
        <v>462</v>
      </c>
      <c r="C5" s="243">
        <f>H2*I2</f>
        <v>200</v>
      </c>
      <c r="D5" s="243"/>
      <c r="E5" s="243">
        <f>H2*J2</f>
        <v>300</v>
      </c>
    </row>
    <row r="6" spans="1:10">
      <c r="B6" t="s">
        <v>107</v>
      </c>
      <c r="C6">
        <f>C4-C5</f>
        <v>300</v>
      </c>
      <c r="E6">
        <f>E4-E5</f>
        <v>200</v>
      </c>
    </row>
    <row r="7" spans="1:10">
      <c r="B7" t="s">
        <v>463</v>
      </c>
      <c r="C7">
        <v>100</v>
      </c>
      <c r="E7">
        <v>100</v>
      </c>
    </row>
    <row r="8" spans="1:10">
      <c r="B8" t="s">
        <v>464</v>
      </c>
      <c r="C8">
        <f>C6-C7</f>
        <v>200</v>
      </c>
      <c r="E8">
        <f>E6-E7</f>
        <v>100</v>
      </c>
    </row>
    <row r="9" spans="1:10">
      <c r="A9" s="242">
        <v>0.2</v>
      </c>
      <c r="B9" t="s">
        <v>465</v>
      </c>
      <c r="C9" s="243">
        <f>C8*A9</f>
        <v>40</v>
      </c>
      <c r="D9" s="243"/>
      <c r="E9" s="243">
        <f>E8*A9</f>
        <v>20</v>
      </c>
    </row>
    <row r="10" spans="1:10">
      <c r="B10" t="s">
        <v>56</v>
      </c>
      <c r="C10">
        <f>C8-C9</f>
        <v>160</v>
      </c>
      <c r="E10">
        <f>E8-E9</f>
        <v>80</v>
      </c>
    </row>
    <row r="12" spans="1:10">
      <c r="C12" t="s">
        <v>466</v>
      </c>
    </row>
    <row r="13" spans="1:10">
      <c r="B13" t="s">
        <v>460</v>
      </c>
      <c r="C13">
        <v>1000</v>
      </c>
    </row>
    <row r="14" spans="1:10">
      <c r="B14" t="s">
        <v>461</v>
      </c>
      <c r="C14">
        <v>500</v>
      </c>
    </row>
    <row r="15" spans="1:10">
      <c r="B15" t="s">
        <v>50</v>
      </c>
      <c r="C15">
        <f>C13-C14</f>
        <v>500</v>
      </c>
    </row>
    <row r="16" spans="1:10">
      <c r="B16" t="s">
        <v>462</v>
      </c>
      <c r="C16" s="243">
        <f>C5</f>
        <v>200</v>
      </c>
    </row>
    <row r="17" spans="2:4">
      <c r="B17" t="s">
        <v>107</v>
      </c>
      <c r="C17">
        <f>C15-C16</f>
        <v>300</v>
      </c>
    </row>
    <row r="18" spans="2:4">
      <c r="B18" t="s">
        <v>463</v>
      </c>
      <c r="C18">
        <v>100</v>
      </c>
    </row>
    <row r="19" spans="2:4">
      <c r="B19" t="s">
        <v>464</v>
      </c>
      <c r="C19">
        <f>C17-C18</f>
        <v>200</v>
      </c>
    </row>
    <row r="20" spans="2:4">
      <c r="B20" t="s">
        <v>470</v>
      </c>
      <c r="C20" s="243">
        <f>E9</f>
        <v>20</v>
      </c>
    </row>
    <row r="21" spans="2:4">
      <c r="B21" t="s">
        <v>471</v>
      </c>
      <c r="C21" s="243">
        <f>C9-E9</f>
        <v>20</v>
      </c>
    </row>
    <row r="22" spans="2:4">
      <c r="B22" t="s">
        <v>56</v>
      </c>
      <c r="C22">
        <f>C19-C20-C21</f>
        <v>160</v>
      </c>
    </row>
    <row r="25" spans="2:4">
      <c r="B25" t="s">
        <v>475</v>
      </c>
      <c r="C25">
        <v>1000</v>
      </c>
    </row>
    <row r="26" spans="2:4">
      <c r="B26" t="s">
        <v>476</v>
      </c>
      <c r="C26">
        <f>5%*C25</f>
        <v>50</v>
      </c>
    </row>
    <row r="27" spans="2:4">
      <c r="B27" t="s">
        <v>472</v>
      </c>
      <c r="C27" s="244">
        <f>1/C29</f>
        <v>0.1</v>
      </c>
    </row>
    <row r="28" spans="2:4">
      <c r="B28" t="s">
        <v>473</v>
      </c>
      <c r="C28" s="245">
        <f>((C26/C25)^(1/10)-1)*-1</f>
        <v>0.2588655508930523</v>
      </c>
    </row>
    <row r="29" spans="2:4">
      <c r="B29" t="s">
        <v>474</v>
      </c>
      <c r="C29" s="243">
        <v>10</v>
      </c>
    </row>
    <row r="31" spans="2:4">
      <c r="C31">
        <v>1000</v>
      </c>
    </row>
    <row r="32" spans="2:4">
      <c r="C32" t="s">
        <v>472</v>
      </c>
      <c r="D32" t="s">
        <v>473</v>
      </c>
    </row>
    <row r="33" spans="2:5">
      <c r="B33">
        <v>1</v>
      </c>
      <c r="C33">
        <f>($C$31-$C$26)*$C$27</f>
        <v>95</v>
      </c>
      <c r="D33" s="247">
        <f>$C$31*$C$28</f>
        <v>258.86555089305227</v>
      </c>
      <c r="E33" s="248">
        <f>C31-D33</f>
        <v>741.13444910694773</v>
      </c>
    </row>
    <row r="34" spans="2:5">
      <c r="B34">
        <v>2</v>
      </c>
      <c r="C34">
        <f>C33</f>
        <v>95</v>
      </c>
      <c r="D34" s="248">
        <f>E33*$C$28</f>
        <v>191.85417745388887</v>
      </c>
      <c r="E34" s="248">
        <f>E33-D34</f>
        <v>549.28027165305889</v>
      </c>
    </row>
    <row r="35" spans="2:5">
      <c r="B35">
        <v>3</v>
      </c>
      <c r="C35">
        <f t="shared" ref="C35:C42" si="0">C34</f>
        <v>95</v>
      </c>
      <c r="D35" s="248">
        <f t="shared" ref="D35:D42" si="1">E34*$C$28</f>
        <v>142.1897401161545</v>
      </c>
      <c r="E35" s="248">
        <f t="shared" ref="E35:E42" si="2">E34-D35</f>
        <v>407.09053153690439</v>
      </c>
    </row>
    <row r="36" spans="2:5">
      <c r="B36">
        <v>4</v>
      </c>
      <c r="C36">
        <f t="shared" si="0"/>
        <v>95</v>
      </c>
      <c r="D36" s="248">
        <f t="shared" si="1"/>
        <v>105.38171470964623</v>
      </c>
      <c r="E36" s="248">
        <f t="shared" si="2"/>
        <v>301.70881682725815</v>
      </c>
    </row>
    <row r="37" spans="2:5">
      <c r="B37">
        <v>5</v>
      </c>
      <c r="C37">
        <f t="shared" si="0"/>
        <v>95</v>
      </c>
      <c r="D37" s="248">
        <f t="shared" si="1"/>
        <v>78.102019077279181</v>
      </c>
      <c r="E37" s="248">
        <f t="shared" si="2"/>
        <v>223.60679774997897</v>
      </c>
    </row>
    <row r="38" spans="2:5">
      <c r="B38">
        <v>6</v>
      </c>
      <c r="C38">
        <f t="shared" si="0"/>
        <v>95</v>
      </c>
      <c r="D38" s="248">
        <f t="shared" si="1"/>
        <v>57.884096882979634</v>
      </c>
      <c r="E38" s="248">
        <f t="shared" si="2"/>
        <v>165.72270086699933</v>
      </c>
    </row>
    <row r="39" spans="2:5">
      <c r="B39">
        <v>7</v>
      </c>
      <c r="C39">
        <f t="shared" si="0"/>
        <v>95</v>
      </c>
      <c r="D39" s="248">
        <f t="shared" si="1"/>
        <v>42.899898255420297</v>
      </c>
      <c r="E39" s="248">
        <f t="shared" si="2"/>
        <v>122.82280261157904</v>
      </c>
    </row>
    <row r="40" spans="2:5">
      <c r="B40">
        <v>8</v>
      </c>
      <c r="C40">
        <f t="shared" si="0"/>
        <v>95</v>
      </c>
      <c r="D40" s="248">
        <f t="shared" si="1"/>
        <v>31.79459246027503</v>
      </c>
      <c r="E40" s="248">
        <f t="shared" si="2"/>
        <v>91.028210151304009</v>
      </c>
    </row>
    <row r="41" spans="2:5">
      <c r="B41">
        <v>9</v>
      </c>
      <c r="C41">
        <f t="shared" si="0"/>
        <v>95</v>
      </c>
      <c r="D41" s="248">
        <f t="shared" si="1"/>
        <v>23.564067767625847</v>
      </c>
      <c r="E41" s="248">
        <f t="shared" si="2"/>
        <v>67.464142383678166</v>
      </c>
    </row>
    <row r="42" spans="2:5">
      <c r="B42">
        <v>10</v>
      </c>
      <c r="C42">
        <f t="shared" si="0"/>
        <v>95</v>
      </c>
      <c r="D42" s="248">
        <f t="shared" si="1"/>
        <v>17.464142383678166</v>
      </c>
      <c r="E42" s="248">
        <f t="shared" si="2"/>
        <v>50</v>
      </c>
    </row>
    <row r="43" spans="2:5">
      <c r="C43" s="246">
        <f>SUM(C33:C42)</f>
        <v>950</v>
      </c>
      <c r="D43" s="246">
        <f>SUM(D33:D42)</f>
        <v>950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16</vt:i4>
      </vt:variant>
      <vt:variant>
        <vt:lpstr>Named Ranges</vt:lpstr>
      </vt:variant>
      <vt:variant>
        <vt:i4>7</vt:i4>
      </vt:variant>
    </vt:vector>
  </HeadingPairs>
  <TitlesOfParts>
    <vt:vector size="23" baseType="lpstr">
      <vt:lpstr> </vt:lpstr>
      <vt:lpstr>Snapshot</vt:lpstr>
      <vt:lpstr>Assumptions</vt:lpstr>
      <vt:lpstr>Project Cost</vt:lpstr>
      <vt:lpstr>Capex, Debt</vt:lpstr>
      <vt:lpstr>CoP</vt:lpstr>
      <vt:lpstr>Depreciation</vt:lpstr>
      <vt:lpstr>WC</vt:lpstr>
      <vt:lpstr>PL</vt:lpstr>
      <vt:lpstr>CF</vt:lpstr>
      <vt:lpstr>BS</vt:lpstr>
      <vt:lpstr>Ratio</vt:lpstr>
      <vt:lpstr>KFR</vt:lpstr>
      <vt:lpstr>Sensitivity</vt:lpstr>
      <vt:lpstr>Sheet2</vt:lpstr>
      <vt:lpstr>Sheet1</vt:lpstr>
      <vt:lpstr>CAP</vt:lpstr>
      <vt:lpstr>INTR</vt:lpstr>
      <vt:lpstr>Lacs</vt:lpstr>
      <vt:lpstr>OP</vt:lpstr>
      <vt:lpstr>PC</vt:lpstr>
      <vt:lpstr>RM</vt:lpstr>
      <vt:lpstr>SP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2025-10-27T05:44:59Z</dcterms:modified>
</cp:coreProperties>
</file>