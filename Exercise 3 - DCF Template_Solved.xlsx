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defaultThemeVersion="124226"/>
  <mc:AlternateContent xmlns:mc="http://schemas.openxmlformats.org/markup-compatibility/2006">
    <mc:Choice Requires="x15">
      <x15ac:absPath xmlns:x15ac="http://schemas.microsoft.com/office/spreadsheetml/2010/11/ac" url="/Users/sureshkadam/Documents/MY DATA/PIBM - NEW/3. MBA FinTech/Batch 2024-2026/SEM III/4. Valuation/"/>
    </mc:Choice>
  </mc:AlternateContent>
  <xr:revisionPtr revIDLastSave="0" documentId="13_ncr:1_{9453EB8C-C716-814E-91E9-9B0FD85DC312}" xr6:coauthVersionLast="47" xr6:coauthVersionMax="47" xr10:uidLastSave="{00000000-0000-0000-0000-000000000000}"/>
  <bookViews>
    <workbookView xWindow="0" yWindow="500" windowWidth="38400" windowHeight="19900" tabRatio="678" xr2:uid="{00000000-000D-0000-FFFF-FFFF00000000}"/>
  </bookViews>
  <sheets>
    <sheet name="Asian Paints" sheetId="3" r:id="rId1"/>
    <sheet name="Sheet1" sheetId="4" r:id="rId2"/>
    <sheet name="Sheet2" sheetId="5" r:id="rId3"/>
  </sheets>
  <definedNames>
    <definedName name="_xlnm._FilterDatabase" localSheetId="2" hidden="1">Sheet2!$A$2:$C$249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 l="1"/>
  <c r="L68" i="3"/>
  <c r="J68" i="3"/>
  <c r="H68" i="3"/>
  <c r="G68" i="3"/>
  <c r="I62" i="3"/>
  <c r="H62" i="3"/>
  <c r="G62" i="3"/>
  <c r="C54" i="3"/>
  <c r="E45" i="3"/>
  <c r="F42" i="3"/>
  <c r="G42" i="3"/>
  <c r="H42" i="3"/>
  <c r="I42" i="3"/>
  <c r="F43" i="3"/>
  <c r="G43" i="3"/>
  <c r="H43" i="3"/>
  <c r="I43" i="3"/>
  <c r="F44" i="3"/>
  <c r="E44" i="3"/>
  <c r="E43" i="3"/>
  <c r="E42" i="3"/>
  <c r="E41" i="3"/>
  <c r="E48" i="3" s="1"/>
  <c r="E50" i="3" s="1"/>
  <c r="D41" i="3"/>
  <c r="F28" i="3"/>
  <c r="G28" i="3" s="1"/>
  <c r="D28" i="3"/>
  <c r="D31" i="3"/>
  <c r="D29" i="3"/>
  <c r="C29" i="3"/>
  <c r="C31" i="3" s="1"/>
  <c r="I27" i="3"/>
  <c r="H27" i="3"/>
  <c r="G27" i="3"/>
  <c r="F27" i="3"/>
  <c r="E27" i="3"/>
  <c r="E24" i="3"/>
  <c r="F24" i="3" s="1"/>
  <c r="D24" i="3"/>
  <c r="H20" i="3"/>
  <c r="H19" i="3"/>
  <c r="H18" i="3"/>
  <c r="G19" i="3"/>
  <c r="G18" i="3"/>
  <c r="F19" i="3"/>
  <c r="E19" i="3"/>
  <c r="E18" i="3"/>
  <c r="D19" i="3"/>
  <c r="D18" i="3"/>
  <c r="C20" i="3"/>
  <c r="C10" i="3"/>
  <c r="F15" i="3"/>
  <c r="K8" i="3"/>
  <c r="K7" i="3"/>
  <c r="K6" i="3"/>
  <c r="J6" i="3"/>
  <c r="H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4" i="5"/>
  <c r="C9" i="3"/>
  <c r="C7" i="3"/>
  <c r="C4" i="3"/>
  <c r="I40" i="3"/>
  <c r="H40" i="3"/>
  <c r="G40" i="3"/>
  <c r="F40" i="3"/>
  <c r="E40" i="3"/>
  <c r="E25" i="3" l="1"/>
  <c r="E33" i="3" s="1"/>
  <c r="E35" i="3" s="1"/>
  <c r="G24" i="3"/>
  <c r="F25" i="3"/>
  <c r="F33" i="3" s="1"/>
  <c r="F35" i="3" s="1"/>
  <c r="H28" i="3"/>
  <c r="G44" i="3"/>
  <c r="F41" i="3"/>
  <c r="G41" i="3" l="1"/>
  <c r="F48" i="3"/>
  <c r="F50" i="3" s="1"/>
  <c r="I28" i="3"/>
  <c r="I44" i="3" s="1"/>
  <c r="H44" i="3"/>
  <c r="H24" i="3"/>
  <c r="G25" i="3"/>
  <c r="G33" i="3" s="1"/>
  <c r="G35" i="3" s="1"/>
  <c r="I24" i="3" l="1"/>
  <c r="I25" i="3" s="1"/>
  <c r="I33" i="3" s="1"/>
  <c r="H25" i="3"/>
  <c r="H33" i="3" s="1"/>
  <c r="H35" i="3" s="1"/>
  <c r="H41" i="3"/>
  <c r="G48" i="3"/>
  <c r="G50" i="3" s="1"/>
  <c r="I41" i="3" l="1"/>
  <c r="I48" i="3" s="1"/>
  <c r="H48" i="3"/>
  <c r="H50" i="3" s="1"/>
  <c r="I34" i="3"/>
  <c r="I35" i="3" s="1"/>
  <c r="C37" i="3" s="1"/>
  <c r="I49" i="3" l="1"/>
  <c r="I50" i="3" s="1"/>
  <c r="C52" i="3" s="1"/>
  <c r="C5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tc={B25FBA51-204E-8E4A-972F-EE34C3BAC4CF}</author>
  </authors>
  <commentList>
    <comment ref="E28" authorId="0" shapeId="0" xr:uid="{B25FBA51-204E-8E4A-972F-EE34C3BAC4CF}">
      <text>
        <t>[Threaded comment]
Your version of Excel allows you to read this threaded comment; however, any edits to it will get removed if the file is opened in a newer version of Excel. Learn more: https://go.microsoft.com/fwlink/?linkid=870924
Comment:
    Assumption of minimal investment in WC</t>
      </text>
    </comment>
  </commentList>
</comments>
</file>

<file path=xl/sharedStrings.xml><?xml version="1.0" encoding="utf-8"?>
<sst xmlns="http://schemas.openxmlformats.org/spreadsheetml/2006/main" count="121" uniqueCount="109">
  <si>
    <t>Depreciation</t>
  </si>
  <si>
    <t>EBIT</t>
  </si>
  <si>
    <t>Tax Rate</t>
  </si>
  <si>
    <t>Adj Current Assets</t>
  </si>
  <si>
    <t>Adj Current Liabilities</t>
  </si>
  <si>
    <t>Non Cash WC</t>
  </si>
  <si>
    <t>EBIT * (1-tax)</t>
  </si>
  <si>
    <t>a)</t>
  </si>
  <si>
    <t>b)</t>
  </si>
  <si>
    <t>c)</t>
  </si>
  <si>
    <t>Capex</t>
  </si>
  <si>
    <t>d)</t>
  </si>
  <si>
    <t>Change in Non Cash WC</t>
  </si>
  <si>
    <t>Free Cash flow to the Firm</t>
  </si>
  <si>
    <t>Net Income</t>
  </si>
  <si>
    <t>e)</t>
  </si>
  <si>
    <t>New Loan - Debt Repayment</t>
  </si>
  <si>
    <t xml:space="preserve"> Loan Outstanding (Term Loan + WC)</t>
  </si>
  <si>
    <t>Free Cash Flow to Equity</t>
  </si>
  <si>
    <t>Stable Growth Rate</t>
  </si>
  <si>
    <t>Terminal Value</t>
  </si>
  <si>
    <t>Total Free Cash Flow</t>
  </si>
  <si>
    <t>Total Free Cash Flow for Equity</t>
  </si>
  <si>
    <t>Value of the Equity</t>
  </si>
  <si>
    <t>Crore</t>
  </si>
  <si>
    <t>No of shares</t>
  </si>
  <si>
    <t>Cr</t>
  </si>
  <si>
    <t>Cr shares</t>
  </si>
  <si>
    <t>Share Price</t>
  </si>
  <si>
    <t>INR</t>
  </si>
  <si>
    <t>&lt;&lt; This is the intrinsic value of the share.</t>
  </si>
  <si>
    <t>Assumptions</t>
  </si>
  <si>
    <t>&gt;&gt; PBT + Finance Cost</t>
  </si>
  <si>
    <t>Growth rate</t>
  </si>
  <si>
    <t>&gt;&gt; From Screener. Last ten years PAT growth</t>
  </si>
  <si>
    <t>&gt;&gt; Growth rate of a stable economy</t>
  </si>
  <si>
    <t>PAT</t>
  </si>
  <si>
    <t>&gt;&gt; IT Act</t>
  </si>
  <si>
    <t>&gt;&gt; Risk free rate + risk premium for a AAA company</t>
  </si>
  <si>
    <t>Cost of Equity (Ke)</t>
  </si>
  <si>
    <t>Cost of Debt (Kd)</t>
  </si>
  <si>
    <t>Beta (b)</t>
  </si>
  <si>
    <t>Risk Free Rate (Rf)</t>
  </si>
  <si>
    <t>&gt;&gt; Using CAPM Model : Ke = Rf + beta * (Rm - Rf)</t>
  </si>
  <si>
    <t>&gt;&gt; From RBI, 10 year Gsec</t>
  </si>
  <si>
    <t>&gt;&gt; Last 2 years beta</t>
  </si>
  <si>
    <t>WACC</t>
  </si>
  <si>
    <t>Equity</t>
  </si>
  <si>
    <t>Debt</t>
  </si>
  <si>
    <t>Prop</t>
  </si>
  <si>
    <t>Cost</t>
  </si>
  <si>
    <t>Tax</t>
  </si>
  <si>
    <t>Post Tax</t>
  </si>
  <si>
    <t>&lt;&lt; Cost of Capital</t>
  </si>
  <si>
    <t>&lt;&lt; approx 2% of GB</t>
  </si>
  <si>
    <t>&lt;&lt; From PL</t>
  </si>
  <si>
    <t>&lt;&lt; consideing stable growth and cost of capital</t>
  </si>
  <si>
    <t>Firm Value</t>
  </si>
  <si>
    <t>FIRM Valuation</t>
  </si>
  <si>
    <t>Equity Valuation</t>
  </si>
  <si>
    <t>&lt;&lt; Loan repayment</t>
  </si>
  <si>
    <t>Relative Valuation</t>
  </si>
  <si>
    <t>Industry - Paints</t>
  </si>
  <si>
    <t>Industry Mutiples</t>
  </si>
  <si>
    <t>PE</t>
  </si>
  <si>
    <t>PEG</t>
  </si>
  <si>
    <t>P/BV</t>
  </si>
  <si>
    <t>For Equity Valuation</t>
  </si>
  <si>
    <t>For Firm Valuation</t>
  </si>
  <si>
    <t>EV/EBITDA</t>
  </si>
  <si>
    <t>EV/BV</t>
  </si>
  <si>
    <t>EV/Sales</t>
  </si>
  <si>
    <t>Berger Paints</t>
  </si>
  <si>
    <t>Kansai Nerolac</t>
  </si>
  <si>
    <t>Akzo Nobel</t>
  </si>
  <si>
    <t>Indigo Paints</t>
  </si>
  <si>
    <t>Asian Paints</t>
  </si>
  <si>
    <t>Price</t>
  </si>
  <si>
    <t>Comparable Companies from Industry</t>
  </si>
  <si>
    <t>Industry AVG Multiple</t>
  </si>
  <si>
    <t>Price / Sales</t>
  </si>
  <si>
    <t>CMP</t>
  </si>
  <si>
    <t>EV</t>
  </si>
  <si>
    <t>Less: Debt</t>
  </si>
  <si>
    <t>market Cap</t>
  </si>
  <si>
    <t>FY2025</t>
  </si>
  <si>
    <t>&gt;&gt; For FY2025. From BS</t>
  </si>
  <si>
    <t>Equity Risk Premium (ERP)</t>
  </si>
  <si>
    <t>&gt;&gt; From Damodaran</t>
  </si>
  <si>
    <t>Cost of Equity (ke)</t>
  </si>
  <si>
    <t>CAPM</t>
  </si>
  <si>
    <t>Rf + beta (Rm - Rf)</t>
  </si>
  <si>
    <t>Beta &gt;&gt; measure of risk (systematic risk)</t>
  </si>
  <si>
    <t>Rf &gt;&gt; Risk free rate</t>
  </si>
  <si>
    <t>RM - Rf &gt;&gt; Equity Risk Premium (ERP)</t>
  </si>
  <si>
    <t>Date</t>
  </si>
  <si>
    <t>SENSEX</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</si>
  <si>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</si>
  <si>
    <t>Stock Close (Unit Curr)</t>
  </si>
  <si>
    <t>Stock Return</t>
  </si>
  <si>
    <t>Sensex Returns</t>
  </si>
  <si>
    <t>Beta = Cov (Rstock,Rmarket)/Var(R Market)</t>
  </si>
  <si>
    <t>Rm - Rf</t>
  </si>
  <si>
    <t>Rm</t>
  </si>
  <si>
    <t>Rf</t>
  </si>
  <si>
    <t>PV of Growth Perpetuity</t>
  </si>
  <si>
    <t>CF1/(r-g)</t>
  </si>
  <si>
    <t>CF0(1+g)</t>
  </si>
  <si>
    <t>CF*(1+g)/(r-g)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</si>
</sst>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3" formatCode="_(* #,##0.00_);_(* \(#,##0.00\);_(* &quot;-&quot;??_);_(@_)"/>
    <numFmt numFmtId="164" formatCode="_ * #,##0.00_ ;_ * \-#,##0.00_ ;_ * &quot;-&quot;??_ ;_ @_ "/>
    <numFmt numFmtId="165" formatCode="_(* #,##0_);_(* \(#,##0\);_(* &quot;-&quot;??_);_(@_)"/>
    <numFmt numFmtId="166" formatCode="_ * #,##0_ ;_ * \-#,##0_ ;_ * &quot;-&quot;??_ ;_ @_ "/>
    <numFmt numFmtId="167" formatCode="_ * #,##0.0_ ;_ * \-#,##0.0_ ;_ * &quot;-&quot;??_ ;_ @_ "/>
    <numFmt numFmtId="168" formatCode="_ * #,##0.0000_ ;_ * \-#,##0.0000_ ;_ * &quot;-&quot;??_ ;_ @_ "/>
    <numFmt numFmtId="170" formatCode="0.000%"/>
  </numFmts>
  <fonts count="8"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b/>
      <i/>
      <sz val="11"/>
      <color theme="1"/>
      <name val="Calibri"/>
      <family val="2"/>
      <scheme val="minor"/>
    </font>
    <font>
      <b/>
      <sz val="11"/>
      <name val="Calibri"/>
      <family val="2"/>
    </font>
    <font>
      <sz val="10"/>
      <color rgb="FF000000"/>
      <name val="Tahoma"/>
      <family val="2"/>
    </font>
  </fonts>
  <fills count="1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bgColor indexed="64"/>
      </patternFill>
    </fill>
    <fill>
      <patternFill patternType="solid">
        <fgColor theme="9" tint="0.59999389629810485"/>
        <bgColor indexed="64"/>
      </patternFill>
    </fill>
    <fill>
      <patternFill patternType="solid">
        <fgColor theme="6"/>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54">
    <xf numFmtId="0" fontId="0" fillId="0" borderId="0" xfId="0"/>
    <xf numFmtId="9" fontId="0" fillId="0" borderId="0" xfId="0" applyNumberFormat="1"/>
    <xf numFmtId="0" fontId="3" fillId="0" borderId="0" xfId="0" applyFont="1"/>
    <xf numFmtId="165" fontId="0" fillId="0" borderId="0" xfId="0" applyNumberFormat="1"/>
    <xf numFmtId="166" fontId="0" fillId="0" borderId="0" xfId="1" applyNumberFormat="1" applyFont="1"/>
    <xf numFmtId="166" fontId="0" fillId="0" borderId="0" xfId="0" applyNumberFormat="1"/>
    <xf numFmtId="0" fontId="4" fillId="0" borderId="0" xfId="0" applyFont="1"/>
    <xf numFmtId="0" fontId="2" fillId="0" borderId="0" xfId="0" applyFont="1"/>
    <xf numFmtId="165" fontId="2" fillId="0" borderId="0" xfId="0" applyNumberFormat="1" applyFont="1"/>
    <xf numFmtId="165" fontId="4" fillId="0" borderId="0" xfId="0" applyNumberFormat="1" applyFont="1"/>
    <xf numFmtId="0" fontId="0" fillId="2" borderId="0" xfId="0" applyFill="1"/>
    <xf numFmtId="0" fontId="2" fillId="2" borderId="0" xfId="0" applyFont="1" applyFill="1"/>
    <xf numFmtId="166" fontId="2" fillId="2" borderId="0" xfId="1" applyNumberFormat="1" applyFont="1" applyFill="1"/>
    <xf numFmtId="166" fontId="5" fillId="0" borderId="0" xfId="1" applyNumberFormat="1" applyFont="1"/>
    <xf numFmtId="166" fontId="0" fillId="3" borderId="0" xfId="1" applyNumberFormat="1" applyFont="1" applyFill="1"/>
    <xf numFmtId="165" fontId="0" fillId="3" borderId="0" xfId="0" applyNumberFormat="1" applyFill="1"/>
    <xf numFmtId="166" fontId="0" fillId="4" borderId="0" xfId="0" applyNumberFormat="1" applyFill="1"/>
    <xf numFmtId="166" fontId="0" fillId="5" borderId="0" xfId="0" applyNumberFormat="1" applyFill="1"/>
    <xf numFmtId="165" fontId="0" fillId="5" borderId="0" xfId="0" applyNumberFormat="1" applyFill="1"/>
    <xf numFmtId="43" fontId="0" fillId="0" borderId="0" xfId="0" applyNumberFormat="1"/>
    <xf numFmtId="166" fontId="2" fillId="5" borderId="0" xfId="1" applyNumberFormat="1" applyFont="1" applyFill="1"/>
    <xf numFmtId="4" fontId="0" fillId="0" borderId="0" xfId="0" applyNumberFormat="1"/>
    <xf numFmtId="10" fontId="0" fillId="0" borderId="0" xfId="0" applyNumberFormat="1"/>
    <xf numFmtId="0" fontId="0" fillId="6" borderId="0" xfId="0" applyFill="1"/>
    <xf numFmtId="10" fontId="0" fillId="6" borderId="0" xfId="2" applyNumberFormat="1" applyFont="1" applyFill="1"/>
    <xf numFmtId="0" fontId="2" fillId="6" borderId="0" xfId="0" applyFont="1" applyFill="1"/>
    <xf numFmtId="0" fontId="0" fillId="5" borderId="0" xfId="0" applyFill="1"/>
    <xf numFmtId="0" fontId="2" fillId="5" borderId="0" xfId="0" applyFont="1" applyFill="1"/>
    <xf numFmtId="164" fontId="0" fillId="0" borderId="0" xfId="1" applyFont="1"/>
    <xf numFmtId="4" fontId="2" fillId="0" borderId="0" xfId="0" applyNumberFormat="1" applyFont="1"/>
    <xf numFmtId="0" fontId="2" fillId="7" borderId="0" xfId="0" applyFont="1" applyFill="1"/>
    <xf numFmtId="10" fontId="2" fillId="2" borderId="0" xfId="0" applyNumberFormat="1" applyFont="1" applyFill="1"/>
    <xf numFmtId="0" fontId="0" fillId="7" borderId="0" xfId="0" applyFill="1"/>
    <xf numFmtId="8" fontId="0" fillId="5" borderId="0" xfId="0" applyNumberFormat="1" applyFill="1"/>
    <xf numFmtId="0" fontId="2" fillId="8" borderId="0" xfId="0" applyFont="1" applyFill="1"/>
    <xf numFmtId="0" fontId="0" fillId="4" borderId="0" xfId="0" applyFill="1"/>
    <xf numFmtId="43" fontId="0" fillId="2" borderId="0" xfId="0" applyNumberFormat="1" applyFill="1"/>
    <xf numFmtId="167" fontId="0" fillId="2" borderId="0" xfId="1" applyNumberFormat="1" applyFont="1" applyFill="1"/>
    <xf numFmtId="43" fontId="0" fillId="9" borderId="0" xfId="0" applyNumberFormat="1" applyFill="1"/>
    <xf numFmtId="166" fontId="0" fillId="2" borderId="0" xfId="1" applyNumberFormat="1" applyFont="1" applyFill="1"/>
    <xf numFmtId="168" fontId="0" fillId="0" borderId="0" xfId="1" applyNumberFormat="1" applyFont="1"/>
    <xf numFmtId="0" fontId="2" fillId="0" borderId="0" xfId="0" applyFont="1" applyAlignment="1">
      <alignment horizontal="right"/>
    </xf>
    <xf numFmtId="14" fontId="0" fillId="0" borderId="0" xfId="0" applyNumberFormat="1"/>
    <xf numFmtId="2" fontId="0" fillId="0" borderId="0" xfId="0" applyNumberFormat="1"/>
    <xf numFmtId="0" fontId="6" fillId="10" borderId="0" xfId="0" applyFont="1" applyFill="1"/>
    <xf numFmtId="10" fontId="0" fillId="0" borderId="0" xfId="2" applyNumberFormat="1" applyFont="1"/>
    <xf numFmtId="0" fontId="0" fillId="0" borderId="0" xfId="0" applyAlignment="1">
      <alignment wrapText="1"/>
    </xf>
    <xf numFmtId="0" fontId="0" fillId="0" borderId="0" xfId="0"/>
    <xf numFmtId="170" fontId="0" fillId="0" borderId="0" xfId="2" applyNumberFormat="1" applyFont="1"/>
    <xf numFmtId="170" fontId="0" fillId="0" borderId="0" xfId="0" applyNumberFormat="1"/>
    <xf numFmtId="9" fontId="0" fillId="2" borderId="0" xfId="0" applyNumberFormat="1" applyFill="1"/>
    <xf numFmtId="164" fontId="2" fillId="0" borderId="0" xfId="1" applyFont="1"/>
    <xf numFmtId="43" fontId="2" fillId="2" borderId="0" xfId="0" applyNumberFormat="1" applyFont="1" applyFill="1"/>
    <xf numFmtId="43" fontId="2" fillId="0" borderId="0" xfId="0" applyNumberFormat="1" applyFont="1"/>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K" id="{4E6E9F95-A889-224A-8280-F4A22545C053}" userId="SK"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8" dT="2025-11-06T05:40:16.99" personId="{4E6E9F95-A889-224A-8280-F4A22545C053}" id="{B25FBA51-204E-8E4A-972F-EE34C3BAC4CF}">
    <text>Assumption of minimal investment in WC</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70"/>
  <sheetViews>
    <sheetView tabSelected="1" zoomScale="230" zoomScaleNormal="230" workbookViewId="0"/>
  </sheetViews>
  <sheetFormatPr baseColWidth="10" defaultColWidth="8.83203125" defaultRowHeight="15" x14ac:dyDescent="0.2"/>
  <cols>
    <col min="1" max="1" width="3.5" customWidth="1"/>
    <col min="2" max="2" width="24" customWidth="1"/>
    <col min="3" max="3" width="17.83203125" customWidth="1"/>
    <col min="4" max="4" width="13.83203125" customWidth="1"/>
    <col min="5" max="5" width="14.6640625" customWidth="1"/>
    <col min="6" max="6" width="11.83203125" customWidth="1"/>
    <col min="7" max="7" width="18.1640625" customWidth="1"/>
    <col min="8" max="8" width="10.83203125" customWidth="1"/>
    <col min="9" max="9" width="9.1640625" bestFit="1" customWidth="1"/>
    <col min="10" max="10" width="11.6640625" bestFit="1" customWidth="1"/>
    <col min="12" max="12" width="11.6640625" bestFit="1" customWidth="1"/>
  </cols>
  <sheetData>
    <row r="2" spans="2:12" x14ac:dyDescent="0.2">
      <c r="B2" s="30" t="s">
        <v>31</v>
      </c>
      <c r="C2" s="32"/>
      <c r="D2" s="32"/>
      <c r="E2" s="32"/>
      <c r="F2" s="32"/>
      <c r="G2" s="32"/>
      <c r="H2" s="32"/>
    </row>
    <row r="3" spans="2:12" x14ac:dyDescent="0.2">
      <c r="C3" s="41" t="s">
        <v>85</v>
      </c>
    </row>
    <row r="4" spans="2:12" x14ac:dyDescent="0.2">
      <c r="B4" t="s">
        <v>1</v>
      </c>
      <c r="C4">
        <f>6322.43-901.85</f>
        <v>5420.58</v>
      </c>
      <c r="D4" t="s">
        <v>26</v>
      </c>
      <c r="E4" t="s">
        <v>32</v>
      </c>
    </row>
    <row r="5" spans="2:12" x14ac:dyDescent="0.2">
      <c r="B5" t="s">
        <v>33</v>
      </c>
      <c r="C5" s="1">
        <v>0.11</v>
      </c>
      <c r="E5" t="s">
        <v>34</v>
      </c>
    </row>
    <row r="6" spans="2:12" x14ac:dyDescent="0.2">
      <c r="B6" t="s">
        <v>19</v>
      </c>
      <c r="C6" s="50">
        <v>0.03</v>
      </c>
      <c r="E6" t="s">
        <v>35</v>
      </c>
      <c r="H6">
        <v>26265</v>
      </c>
      <c r="I6">
        <v>83459</v>
      </c>
      <c r="J6">
        <f>(I6/H6)^(1/10)</f>
        <v>1.1225600365597928</v>
      </c>
      <c r="K6" s="48">
        <f>J6-1</f>
        <v>0.12256003655979275</v>
      </c>
      <c r="L6" t="s">
        <v>103</v>
      </c>
    </row>
    <row r="7" spans="2:12" x14ac:dyDescent="0.2">
      <c r="B7" t="s">
        <v>36</v>
      </c>
      <c r="C7" s="21">
        <f>3584.88+379.63</f>
        <v>3964.51</v>
      </c>
      <c r="D7" t="s">
        <v>26</v>
      </c>
      <c r="E7" t="s">
        <v>86</v>
      </c>
      <c r="K7" s="22">
        <f>F11</f>
        <v>6.5000000000000002E-2</v>
      </c>
      <c r="L7" t="s">
        <v>104</v>
      </c>
    </row>
    <row r="8" spans="2:12" x14ac:dyDescent="0.2">
      <c r="B8" t="s">
        <v>2</v>
      </c>
      <c r="C8" s="1">
        <v>0.27</v>
      </c>
      <c r="E8" t="s">
        <v>37</v>
      </c>
      <c r="K8" s="49">
        <f>K6-K7</f>
        <v>5.7560036559792749E-2</v>
      </c>
    </row>
    <row r="9" spans="2:12" x14ac:dyDescent="0.2">
      <c r="B9" t="s">
        <v>40</v>
      </c>
      <c r="C9" s="22">
        <f>8%+1%</f>
        <v>0.09</v>
      </c>
      <c r="E9" t="s">
        <v>38</v>
      </c>
    </row>
    <row r="10" spans="2:12" x14ac:dyDescent="0.2">
      <c r="B10" t="s">
        <v>39</v>
      </c>
      <c r="C10" s="22">
        <f>F15</f>
        <v>0.11799799999999999</v>
      </c>
      <c r="E10" t="s">
        <v>43</v>
      </c>
    </row>
    <row r="11" spans="2:12" x14ac:dyDescent="0.2">
      <c r="E11" t="s">
        <v>42</v>
      </c>
      <c r="F11" s="22">
        <v>6.5000000000000002E-2</v>
      </c>
      <c r="G11" t="s">
        <v>44</v>
      </c>
    </row>
    <row r="12" spans="2:12" x14ac:dyDescent="0.2">
      <c r="E12" t="s">
        <v>41</v>
      </c>
      <c r="F12">
        <v>0.73</v>
      </c>
      <c r="G12" t="s">
        <v>45</v>
      </c>
    </row>
    <row r="13" spans="2:12" x14ac:dyDescent="0.2">
      <c r="E13" t="s">
        <v>87</v>
      </c>
      <c r="F13" s="22">
        <v>7.2599999999999998E-2</v>
      </c>
      <c r="G13" t="s">
        <v>88</v>
      </c>
      <c r="H13" t="s">
        <v>102</v>
      </c>
    </row>
    <row r="14" spans="2:12" x14ac:dyDescent="0.2">
      <c r="H14" s="21"/>
      <c r="I14" s="21"/>
    </row>
    <row r="15" spans="2:12" x14ac:dyDescent="0.2">
      <c r="E15" s="23" t="s">
        <v>89</v>
      </c>
      <c r="F15" s="24">
        <f>F11+F12*F13</f>
        <v>0.11799799999999999</v>
      </c>
    </row>
    <row r="17" spans="1:17" x14ac:dyDescent="0.2">
      <c r="B17" s="30" t="s">
        <v>46</v>
      </c>
      <c r="C17" s="30"/>
      <c r="D17" s="30" t="s">
        <v>49</v>
      </c>
      <c r="E17" s="30" t="s">
        <v>50</v>
      </c>
      <c r="F17" s="30" t="s">
        <v>51</v>
      </c>
      <c r="G17" s="30" t="s">
        <v>52</v>
      </c>
      <c r="H17" s="30" t="s">
        <v>46</v>
      </c>
    </row>
    <row r="18" spans="1:17" x14ac:dyDescent="0.2">
      <c r="B18" t="s">
        <v>47</v>
      </c>
      <c r="C18" s="21">
        <v>249948</v>
      </c>
      <c r="D18" s="40">
        <f>C18/C20</f>
        <v>0.99985099120848131</v>
      </c>
      <c r="E18" s="22">
        <f>C10</f>
        <v>0.11799799999999999</v>
      </c>
      <c r="G18" s="22">
        <f>E18</f>
        <v>0.11799799999999999</v>
      </c>
      <c r="H18" s="22">
        <f>G18*D18</f>
        <v>0.11798041726061836</v>
      </c>
    </row>
    <row r="19" spans="1:17" x14ac:dyDescent="0.2">
      <c r="B19" t="s">
        <v>48</v>
      </c>
      <c r="C19">
        <v>37.25</v>
      </c>
      <c r="D19" s="40">
        <f>C19/C20</f>
        <v>1.490087915186996E-4</v>
      </c>
      <c r="E19" s="22">
        <f>C9</f>
        <v>0.09</v>
      </c>
      <c r="F19" s="1">
        <f>C8</f>
        <v>0.27</v>
      </c>
      <c r="G19" s="22">
        <f>E19*(1-F19)</f>
        <v>6.5699999999999995E-2</v>
      </c>
      <c r="H19" s="22">
        <f>G19*D19</f>
        <v>9.7898776027785638E-6</v>
      </c>
    </row>
    <row r="20" spans="1:17" x14ac:dyDescent="0.2">
      <c r="C20" s="29">
        <f>C18+C19</f>
        <v>249985.25</v>
      </c>
      <c r="H20" s="31">
        <f>H18+H19</f>
        <v>0.11799020713822114</v>
      </c>
      <c r="I20" t="s">
        <v>53</v>
      </c>
    </row>
    <row r="22" spans="1:17" x14ac:dyDescent="0.2">
      <c r="B22" s="34" t="s">
        <v>58</v>
      </c>
    </row>
    <row r="23" spans="1:17" x14ac:dyDescent="0.2">
      <c r="D23" s="6">
        <v>0</v>
      </c>
      <c r="E23" s="10">
        <v>1</v>
      </c>
      <c r="F23" s="10">
        <v>2</v>
      </c>
      <c r="G23" s="10">
        <v>3</v>
      </c>
      <c r="H23" s="10">
        <v>4</v>
      </c>
      <c r="I23" s="10">
        <v>5</v>
      </c>
    </row>
    <row r="24" spans="1:17" x14ac:dyDescent="0.2">
      <c r="B24" s="35" t="s">
        <v>1</v>
      </c>
      <c r="D24" s="9">
        <f>C4</f>
        <v>5420.58</v>
      </c>
      <c r="E24" s="4">
        <f>D24*(1+$C$5)</f>
        <v>6016.8438000000006</v>
      </c>
      <c r="F24" s="4">
        <f t="shared" ref="F24:I24" si="0">E24*(1+$C$5)</f>
        <v>6678.6966180000009</v>
      </c>
      <c r="G24" s="4">
        <f t="shared" si="0"/>
        <v>7413.3532459800017</v>
      </c>
      <c r="H24" s="4">
        <f t="shared" si="0"/>
        <v>8228.8221030378027</v>
      </c>
      <c r="I24" s="4">
        <f t="shared" si="0"/>
        <v>9133.9925343719624</v>
      </c>
    </row>
    <row r="25" spans="1:17" x14ac:dyDescent="0.2">
      <c r="A25" t="s">
        <v>7</v>
      </c>
      <c r="B25" s="7" t="s">
        <v>6</v>
      </c>
      <c r="C25" s="7"/>
      <c r="D25" s="13"/>
      <c r="E25" s="14">
        <f>E24*(1-$C$8)</f>
        <v>4392.2959740000006</v>
      </c>
      <c r="F25" s="14">
        <f t="shared" ref="F25:I25" si="1">F24*(1-$C$8)</f>
        <v>4875.4485311400003</v>
      </c>
      <c r="G25" s="14">
        <f t="shared" si="1"/>
        <v>5411.7478695654008</v>
      </c>
      <c r="H25" s="14">
        <f t="shared" si="1"/>
        <v>6007.0401352175959</v>
      </c>
      <c r="I25" s="14">
        <f t="shared" si="1"/>
        <v>6667.8145500915325</v>
      </c>
    </row>
    <row r="26" spans="1:17" x14ac:dyDescent="0.2">
      <c r="A26" t="s">
        <v>8</v>
      </c>
      <c r="B26" t="s">
        <v>0</v>
      </c>
      <c r="C26" s="3"/>
      <c r="D26" s="9"/>
      <c r="E26" s="15">
        <v>901.85</v>
      </c>
      <c r="F26" s="15">
        <v>901.85</v>
      </c>
      <c r="G26" s="15">
        <v>901.85</v>
      </c>
      <c r="H26" s="15">
        <v>901.85</v>
      </c>
      <c r="I26" s="15">
        <v>901.85</v>
      </c>
      <c r="J26" t="s">
        <v>55</v>
      </c>
    </row>
    <row r="27" spans="1:17" x14ac:dyDescent="0.2">
      <c r="A27" t="s">
        <v>9</v>
      </c>
      <c r="B27" t="s">
        <v>10</v>
      </c>
      <c r="C27" s="3"/>
      <c r="D27" s="9"/>
      <c r="E27" s="14">
        <f>6285.4*2%</f>
        <v>125.708</v>
      </c>
      <c r="F27" s="14">
        <f t="shared" ref="F27:I27" si="2">6285.4*2%</f>
        <v>125.708</v>
      </c>
      <c r="G27" s="14">
        <f t="shared" si="2"/>
        <v>125.708</v>
      </c>
      <c r="H27" s="14">
        <f t="shared" si="2"/>
        <v>125.708</v>
      </c>
      <c r="I27" s="14">
        <f t="shared" si="2"/>
        <v>125.708</v>
      </c>
      <c r="J27" t="s">
        <v>54</v>
      </c>
    </row>
    <row r="28" spans="1:17" x14ac:dyDescent="0.2">
      <c r="A28" t="s">
        <v>11</v>
      </c>
      <c r="B28" t="s">
        <v>12</v>
      </c>
      <c r="C28" s="3"/>
      <c r="D28" s="9">
        <f>D31-C31</f>
        <v>-99.859999999999673</v>
      </c>
      <c r="E28" s="14">
        <v>10</v>
      </c>
      <c r="F28" s="14">
        <f>E28*(1+$C$5)</f>
        <v>11.100000000000001</v>
      </c>
      <c r="G28" s="14">
        <f t="shared" ref="G28:I28" si="3">F28*(1+$C$5)</f>
        <v>12.321000000000003</v>
      </c>
      <c r="H28" s="14">
        <f t="shared" si="3"/>
        <v>13.676310000000004</v>
      </c>
      <c r="I28" s="14">
        <f t="shared" si="3"/>
        <v>15.180704100000007</v>
      </c>
    </row>
    <row r="29" spans="1:17" x14ac:dyDescent="0.2">
      <c r="B29" s="6" t="s">
        <v>3</v>
      </c>
      <c r="C29" s="9">
        <f>14714.18-326-23-3108.5</f>
        <v>11256.68</v>
      </c>
      <c r="D29" s="9">
        <f>14287.94-3113.67-176-26</f>
        <v>10972.27</v>
      </c>
    </row>
    <row r="30" spans="1:17" x14ac:dyDescent="0.2">
      <c r="B30" s="6" t="s">
        <v>4</v>
      </c>
      <c r="C30" s="9">
        <v>6400.75</v>
      </c>
      <c r="D30" s="9">
        <v>6216.2</v>
      </c>
    </row>
    <row r="31" spans="1:17" x14ac:dyDescent="0.2">
      <c r="B31" s="7" t="s">
        <v>5</v>
      </c>
      <c r="C31" s="8">
        <f>C29-C30</f>
        <v>4855.93</v>
      </c>
      <c r="D31" s="8">
        <f>D29-D30</f>
        <v>4756.0700000000006</v>
      </c>
    </row>
    <row r="32" spans="1:17" x14ac:dyDescent="0.2">
      <c r="D32" s="5"/>
      <c r="L32" t="s">
        <v>105</v>
      </c>
      <c r="N32" t="s">
        <v>106</v>
      </c>
      <c r="O32" t="s">
        <v>107</v>
      </c>
      <c r="Q32" t="s">
        <v>108</v>
      </c>
    </row>
    <row r="33" spans="1:10" x14ac:dyDescent="0.2">
      <c r="B33" s="7" t="s">
        <v>13</v>
      </c>
      <c r="C33" s="7"/>
      <c r="D33" s="8"/>
      <c r="E33" s="16">
        <f>E25+E26-E27-E28</f>
        <v>5158.4379740000013</v>
      </c>
      <c r="F33" s="16">
        <f t="shared" ref="F33:I33" si="4">F25+F26-F27-F28</f>
        <v>5640.4905311400007</v>
      </c>
      <c r="G33" s="16">
        <f t="shared" si="4"/>
        <v>6175.5688695654017</v>
      </c>
      <c r="H33" s="16">
        <f t="shared" si="4"/>
        <v>6769.5058252175968</v>
      </c>
      <c r="I33" s="16">
        <f t="shared" si="4"/>
        <v>7428.7758459915331</v>
      </c>
    </row>
    <row r="34" spans="1:10" x14ac:dyDescent="0.2">
      <c r="B34" t="s">
        <v>20</v>
      </c>
      <c r="D34" s="5"/>
      <c r="I34" s="4">
        <f>I33*(1+C6)/(H20-C6)</f>
        <v>86960.121702538469</v>
      </c>
      <c r="J34" t="s">
        <v>56</v>
      </c>
    </row>
    <row r="35" spans="1:10" x14ac:dyDescent="0.2">
      <c r="B35" s="7" t="s">
        <v>21</v>
      </c>
      <c r="D35" s="5"/>
      <c r="E35" s="17">
        <f t="shared" ref="E35:H35" si="5">E33+E34</f>
        <v>5158.4379740000013</v>
      </c>
      <c r="F35" s="17">
        <f t="shared" si="5"/>
        <v>5640.4905311400007</v>
      </c>
      <c r="G35" s="17">
        <f t="shared" si="5"/>
        <v>6175.5688695654017</v>
      </c>
      <c r="H35" s="17">
        <f t="shared" si="5"/>
        <v>6769.5058252175968</v>
      </c>
      <c r="I35" s="17">
        <f>I33+I34</f>
        <v>94388.897548530003</v>
      </c>
    </row>
    <row r="37" spans="1:10" x14ac:dyDescent="0.2">
      <c r="B37" s="27" t="s">
        <v>57</v>
      </c>
      <c r="C37" s="33">
        <f>NPV(H20,E35:I35)</f>
        <v>71921.270878928408</v>
      </c>
      <c r="D37" s="26" t="s">
        <v>24</v>
      </c>
    </row>
    <row r="39" spans="1:10" x14ac:dyDescent="0.2">
      <c r="B39" s="34" t="s">
        <v>59</v>
      </c>
    </row>
    <row r="40" spans="1:10" x14ac:dyDescent="0.2">
      <c r="B40" s="2"/>
      <c r="D40">
        <v>0</v>
      </c>
      <c r="E40" s="10">
        <f>E23</f>
        <v>1</v>
      </c>
      <c r="F40" s="10">
        <f t="shared" ref="F40:I40" si="6">F23</f>
        <v>2</v>
      </c>
      <c r="G40" s="10">
        <f t="shared" si="6"/>
        <v>3</v>
      </c>
      <c r="H40" s="10">
        <f t="shared" si="6"/>
        <v>4</v>
      </c>
      <c r="I40" s="10">
        <f t="shared" si="6"/>
        <v>5</v>
      </c>
    </row>
    <row r="41" spans="1:10" x14ac:dyDescent="0.2">
      <c r="A41" t="s">
        <v>7</v>
      </c>
      <c r="B41" s="35" t="s">
        <v>14</v>
      </c>
      <c r="D41" s="9">
        <f>C7</f>
        <v>3964.51</v>
      </c>
      <c r="E41" s="4">
        <f>D41*(1+$C$5)</f>
        <v>4400.6061000000009</v>
      </c>
      <c r="F41" s="4">
        <f t="shared" ref="F41:I41" si="7">E41*(1+$C$5)</f>
        <v>4884.6727710000014</v>
      </c>
      <c r="G41" s="4">
        <f t="shared" si="7"/>
        <v>5421.9867758100017</v>
      </c>
      <c r="H41" s="4">
        <f t="shared" si="7"/>
        <v>6018.4053211491027</v>
      </c>
      <c r="I41" s="4">
        <f t="shared" si="7"/>
        <v>6680.429906475505</v>
      </c>
    </row>
    <row r="42" spans="1:10" x14ac:dyDescent="0.2">
      <c r="A42" t="s">
        <v>8</v>
      </c>
      <c r="B42" t="s">
        <v>0</v>
      </c>
      <c r="D42" s="3"/>
      <c r="E42" s="3">
        <f>E26</f>
        <v>901.85</v>
      </c>
      <c r="F42" s="3">
        <f t="shared" ref="F42:I42" si="8">F26</f>
        <v>901.85</v>
      </c>
      <c r="G42" s="3">
        <f t="shared" si="8"/>
        <v>901.85</v>
      </c>
      <c r="H42" s="3">
        <f t="shared" si="8"/>
        <v>901.85</v>
      </c>
      <c r="I42" s="3">
        <f t="shared" si="8"/>
        <v>901.85</v>
      </c>
    </row>
    <row r="43" spans="1:10" x14ac:dyDescent="0.2">
      <c r="A43" t="s">
        <v>9</v>
      </c>
      <c r="B43" t="s">
        <v>10</v>
      </c>
      <c r="D43" s="3"/>
      <c r="E43" s="3">
        <f>E27</f>
        <v>125.708</v>
      </c>
      <c r="F43" s="3">
        <f t="shared" ref="F43:I43" si="9">F27</f>
        <v>125.708</v>
      </c>
      <c r="G43" s="3">
        <f t="shared" si="9"/>
        <v>125.708</v>
      </c>
      <c r="H43" s="3">
        <f t="shared" si="9"/>
        <v>125.708</v>
      </c>
      <c r="I43" s="3">
        <f t="shared" si="9"/>
        <v>125.708</v>
      </c>
    </row>
    <row r="44" spans="1:10" x14ac:dyDescent="0.2">
      <c r="A44" t="s">
        <v>11</v>
      </c>
      <c r="B44" t="s">
        <v>12</v>
      </c>
      <c r="D44" s="5"/>
      <c r="E44" s="4">
        <f>E28</f>
        <v>10</v>
      </c>
      <c r="F44" s="4">
        <f t="shared" ref="F44:I44" si="10">F28</f>
        <v>11.100000000000001</v>
      </c>
      <c r="G44" s="4">
        <f t="shared" si="10"/>
        <v>12.321000000000003</v>
      </c>
      <c r="H44" s="4">
        <f t="shared" si="10"/>
        <v>13.676310000000004</v>
      </c>
      <c r="I44" s="4">
        <f t="shared" si="10"/>
        <v>15.180704100000007</v>
      </c>
    </row>
    <row r="45" spans="1:10" x14ac:dyDescent="0.2">
      <c r="A45" t="s">
        <v>15</v>
      </c>
      <c r="B45" t="s">
        <v>16</v>
      </c>
      <c r="D45" s="3"/>
      <c r="E45" s="3">
        <f>0-37</f>
        <v>-37</v>
      </c>
      <c r="F45" s="3">
        <v>0</v>
      </c>
      <c r="G45" s="3">
        <v>0</v>
      </c>
      <c r="H45" s="3">
        <v>0</v>
      </c>
      <c r="I45" s="3">
        <v>0</v>
      </c>
      <c r="J45" t="s">
        <v>60</v>
      </c>
    </row>
    <row r="46" spans="1:10" x14ac:dyDescent="0.2">
      <c r="B46" s="6" t="s">
        <v>17</v>
      </c>
      <c r="C46" s="9"/>
      <c r="D46" s="9"/>
    </row>
    <row r="48" spans="1:10" x14ac:dyDescent="0.2">
      <c r="B48" s="7" t="s">
        <v>18</v>
      </c>
      <c r="C48" s="7"/>
      <c r="D48" s="8"/>
      <c r="E48" s="8">
        <f>E41+E42-E43-E44+E45</f>
        <v>5129.7481000000016</v>
      </c>
      <c r="F48" s="8">
        <f t="shared" ref="F48:I48" si="11">F41+F42-F43-F44+F45</f>
        <v>5649.7147710000017</v>
      </c>
      <c r="G48" s="8">
        <f t="shared" si="11"/>
        <v>6185.8077758100026</v>
      </c>
      <c r="H48" s="8">
        <f t="shared" si="11"/>
        <v>6780.8710111491037</v>
      </c>
      <c r="I48" s="8">
        <f t="shared" si="11"/>
        <v>7441.3912023755056</v>
      </c>
    </row>
    <row r="49" spans="2:9" x14ac:dyDescent="0.2">
      <c r="B49" t="s">
        <v>20</v>
      </c>
      <c r="I49" s="4">
        <f>I48*(1+C6)/(C10-C6)</f>
        <v>87100.081120556963</v>
      </c>
    </row>
    <row r="50" spans="2:9" x14ac:dyDescent="0.2">
      <c r="B50" t="s">
        <v>22</v>
      </c>
      <c r="E50" s="18">
        <f t="shared" ref="E50:H50" si="12">E48+E49</f>
        <v>5129.7481000000016</v>
      </c>
      <c r="F50" s="18">
        <f t="shared" si="12"/>
        <v>5649.7147710000017</v>
      </c>
      <c r="G50" s="18">
        <f t="shared" si="12"/>
        <v>6185.8077758100026</v>
      </c>
      <c r="H50" s="18">
        <f t="shared" si="12"/>
        <v>6780.8710111491037</v>
      </c>
      <c r="I50" s="18">
        <f>I48+I49</f>
        <v>94541.472322932474</v>
      </c>
    </row>
    <row r="52" spans="2:9" x14ac:dyDescent="0.2">
      <c r="B52" s="11" t="s">
        <v>23</v>
      </c>
      <c r="C52" s="12">
        <f>NPV(C10,E50:I50)</f>
        <v>72002.751864315476</v>
      </c>
      <c r="D52" t="s">
        <v>24</v>
      </c>
    </row>
    <row r="54" spans="2:9" x14ac:dyDescent="0.2">
      <c r="B54" t="s">
        <v>25</v>
      </c>
      <c r="C54" s="19">
        <f>95.91</f>
        <v>95.91</v>
      </c>
      <c r="D54" t="s">
        <v>27</v>
      </c>
    </row>
    <row r="55" spans="2:9" x14ac:dyDescent="0.2">
      <c r="B55" s="7" t="s">
        <v>28</v>
      </c>
      <c r="C55" s="20">
        <f>C52/C54</f>
        <v>750.73247695042721</v>
      </c>
      <c r="D55" t="s">
        <v>29</v>
      </c>
      <c r="E55" t="s">
        <v>30</v>
      </c>
    </row>
    <row r="58" spans="2:9" x14ac:dyDescent="0.2">
      <c r="B58" s="34" t="s">
        <v>61</v>
      </c>
      <c r="H58" t="s">
        <v>81</v>
      </c>
    </row>
    <row r="59" spans="2:9" x14ac:dyDescent="0.2">
      <c r="B59" s="7" t="s">
        <v>62</v>
      </c>
      <c r="C59" s="6" t="s">
        <v>78</v>
      </c>
    </row>
    <row r="60" spans="2:9" x14ac:dyDescent="0.2">
      <c r="B60" s="7" t="s">
        <v>63</v>
      </c>
      <c r="C60" s="25" t="s">
        <v>72</v>
      </c>
      <c r="D60" s="25" t="s">
        <v>73</v>
      </c>
      <c r="E60" s="25" t="s">
        <v>74</v>
      </c>
      <c r="F60" s="25" t="s">
        <v>75</v>
      </c>
      <c r="G60" s="7" t="s">
        <v>79</v>
      </c>
      <c r="H60" t="s">
        <v>76</v>
      </c>
      <c r="I60" s="7" t="s">
        <v>77</v>
      </c>
    </row>
    <row r="61" spans="2:9" x14ac:dyDescent="0.2">
      <c r="B61" s="6" t="s">
        <v>67</v>
      </c>
    </row>
    <row r="62" spans="2:9" x14ac:dyDescent="0.2">
      <c r="B62" t="s">
        <v>64</v>
      </c>
      <c r="C62">
        <v>58.01</v>
      </c>
      <c r="D62">
        <v>31.1</v>
      </c>
      <c r="E62">
        <v>36.340000000000003</v>
      </c>
      <c r="F62">
        <v>32.78</v>
      </c>
      <c r="G62" s="51">
        <f>AVERAGE(C62:F62)</f>
        <v>39.557500000000005</v>
      </c>
      <c r="H62" s="10">
        <f>E41/C54</f>
        <v>45.882661870503611</v>
      </c>
      <c r="I62" s="52">
        <f>H62*G62</f>
        <v>1815.0033969424469</v>
      </c>
    </row>
    <row r="63" spans="2:9" x14ac:dyDescent="0.2">
      <c r="B63" t="s">
        <v>65</v>
      </c>
    </row>
    <row r="64" spans="2:9" x14ac:dyDescent="0.2">
      <c r="B64" t="s">
        <v>66</v>
      </c>
      <c r="G64" s="28"/>
      <c r="I64" s="36"/>
    </row>
    <row r="65" spans="2:12" x14ac:dyDescent="0.2">
      <c r="B65" t="s">
        <v>80</v>
      </c>
      <c r="G65" s="28"/>
      <c r="H65" s="19"/>
      <c r="I65" s="37"/>
    </row>
    <row r="66" spans="2:12" x14ac:dyDescent="0.2">
      <c r="I66" s="38"/>
    </row>
    <row r="67" spans="2:12" x14ac:dyDescent="0.2">
      <c r="B67" s="6" t="s">
        <v>68</v>
      </c>
      <c r="J67" t="s">
        <v>82</v>
      </c>
      <c r="K67" t="s">
        <v>83</v>
      </c>
      <c r="L67" t="s">
        <v>84</v>
      </c>
    </row>
    <row r="68" spans="2:12" x14ac:dyDescent="0.2">
      <c r="B68" t="s">
        <v>69</v>
      </c>
      <c r="C68">
        <v>33.700000000000003</v>
      </c>
      <c r="D68">
        <v>18.510000000000002</v>
      </c>
      <c r="E68">
        <v>22.84</v>
      </c>
      <c r="F68">
        <v>18.91</v>
      </c>
      <c r="G68" s="51">
        <f>AVERAGE(C68:F68)</f>
        <v>23.490000000000002</v>
      </c>
      <c r="H68" s="5">
        <f>E24+E26</f>
        <v>6918.6938000000009</v>
      </c>
      <c r="I68" s="12">
        <f>L68/C54</f>
        <v>1694.1207106871032</v>
      </c>
      <c r="J68" s="19">
        <f>H68*G68</f>
        <v>162520.11736200005</v>
      </c>
      <c r="K68">
        <v>-37</v>
      </c>
      <c r="L68" s="53">
        <f>J68+K68</f>
        <v>162483.11736200005</v>
      </c>
    </row>
    <row r="69" spans="2:12" x14ac:dyDescent="0.2">
      <c r="B69" t="s">
        <v>70</v>
      </c>
    </row>
    <row r="70" spans="2:12" x14ac:dyDescent="0.2">
      <c r="B70" t="s">
        <v>71</v>
      </c>
      <c r="C70" s="28"/>
      <c r="D70" s="28"/>
      <c r="E70" s="28"/>
      <c r="F70" s="28"/>
      <c r="G70" s="28"/>
      <c r="I70" s="39"/>
      <c r="J70" s="19"/>
      <c r="L70" s="19"/>
    </row>
  </sheetData>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FA2B-7597-AD46-8F6E-5E1CADF454A3}">
  <dimension ref="B2:D7"/>
  <sheetViews>
    <sheetView zoomScale="210" zoomScaleNormal="210" workbookViewId="0">
      <selection activeCell="D5" sqref="D5"/>
    </sheetView>
  </sheetViews>
  <sheetFormatPr baseColWidth="10" defaultRowHeight="15" x14ac:dyDescent="0.2"/>
  <cols>
    <col min="2" max="2" width="32.1640625" customWidth="1"/>
  </cols>
  <sheetData>
    <row r="2" spans="2:4" x14ac:dyDescent="0.2">
      <c r="B2" t="s">
        <v>90</v>
      </c>
    </row>
    <row r="3" spans="2:4" x14ac:dyDescent="0.2">
      <c r="B3" t="s">
        <v>91</v>
      </c>
    </row>
    <row r="5" spans="2:4" x14ac:dyDescent="0.2">
      <c r="B5" t="s">
        <v>92</v>
      </c>
      <c r="D5">
        <v>1.21</v>
      </c>
    </row>
    <row r="6" spans="2:4" x14ac:dyDescent="0.2">
      <c r="B6" t="s">
        <v>93</v>
      </c>
    </row>
    <row r="7" spans="2:4" x14ac:dyDescent="0.2">
      <c r="B7"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5982-51A4-2241-9E58-9E21FA3BA394}">
  <dimension ref="A2:H252"/>
  <sheetViews>
    <sheetView zoomScale="200" zoomScaleNormal="200" workbookViewId="0">
      <selection activeCell="H4" sqref="H4"/>
    </sheetView>
  </sheetViews>
  <sheetFormatPr baseColWidth="10" defaultRowHeight="15" x14ac:dyDescent="0.2"/>
  <cols>
    <col min="1" max="1" width="13.5" customWidth="1"/>
    <col min="2" max="2" width="23" customWidth="1"/>
    <col min="5" max="5" width="13.5" customWidth="1"/>
    <col min="6" max="6" width="14.83203125" customWidth="1"/>
    <col min="8" max="8" width="20.1640625" bestFit="1" customWidth="1"/>
  </cols>
  <sheetData>
    <row r="2" spans="1:8" x14ac:dyDescent="0.2">
      <c r="A2" s="44" t="s">
        <v>95</v>
      </c>
      <c r="B2" s="44" t="s">
        <v>98</v>
      </c>
      <c r="C2" s="44" t="s">
        <v>96</v>
      </c>
      <c r="E2" s="44" t="s">
        <v>99</v>
      </c>
      <c r="F2" s="44" t="s">
        <v>100</v>
      </c>
      <c r="H2" s="44" t="s">
        <v>101</v>
      </c>
    </row>
    <row r="3" spans="1:8" x14ac:dyDescent="0.2">
      <c r="A3" s="42">
        <v>45600</v>
      </c>
      <c r="B3" s="43">
        <v>2914.95</v>
      </c>
      <c r="C3" s="43">
        <v>78782.240000000005</v>
      </c>
    </row>
    <row r="4" spans="1:8" x14ac:dyDescent="0.2">
      <c r="A4" s="42">
        <v>45601</v>
      </c>
      <c r="B4" s="43">
        <v>2888.4</v>
      </c>
      <c r="C4" s="43">
        <v>79476.63</v>
      </c>
      <c r="E4" s="45">
        <f>(B4-B3)/B3</f>
        <v>-9.1082179797251171E-3</v>
      </c>
      <c r="F4" s="45">
        <f>(C4-C3)/C3</f>
        <v>8.81404235269268E-3</v>
      </c>
      <c r="H4" s="28">
        <f>_xlfn.COVARIANCE.S(E4:E249,F4:F249)/_xlfn.VAR.S(F4:F249)</f>
        <v>0.73299618919438425</v>
      </c>
    </row>
    <row r="5" spans="1:8" x14ac:dyDescent="0.2">
      <c r="A5" s="42">
        <v>45602</v>
      </c>
      <c r="B5" s="43">
        <v>2897.2</v>
      </c>
      <c r="C5" s="43">
        <v>80378.13</v>
      </c>
      <c r="E5" s="45">
        <f t="shared" ref="E5:E68" si="0">(B5-B4)/B4</f>
        <v>3.0466694363660597E-3</v>
      </c>
      <c r="F5" s="45">
        <f t="shared" ref="F5:F68" si="1">(C5-C4)/C4</f>
        <v>1.1342957042843915E-2</v>
      </c>
    </row>
    <row r="6" spans="1:8" x14ac:dyDescent="0.2">
      <c r="A6" s="42">
        <v>45603</v>
      </c>
      <c r="B6" s="43">
        <v>2843.45</v>
      </c>
      <c r="C6" s="43">
        <v>79541.789999999994</v>
      </c>
      <c r="E6" s="45">
        <f t="shared" si="0"/>
        <v>-1.8552395416263981E-2</v>
      </c>
      <c r="F6" s="45">
        <f t="shared" si="1"/>
        <v>-1.0405069140075926E-2</v>
      </c>
    </row>
    <row r="7" spans="1:8" x14ac:dyDescent="0.2">
      <c r="A7" s="42">
        <v>45604</v>
      </c>
      <c r="B7" s="43">
        <v>2769.25</v>
      </c>
      <c r="C7" s="43">
        <v>79486.320000000007</v>
      </c>
      <c r="E7" s="45">
        <f t="shared" si="0"/>
        <v>-2.6095060577819136E-2</v>
      </c>
      <c r="F7" s="45">
        <f t="shared" si="1"/>
        <v>-6.9736926966298615E-4</v>
      </c>
    </row>
    <row r="8" spans="1:8" x14ac:dyDescent="0.2">
      <c r="A8" s="42">
        <v>45607</v>
      </c>
      <c r="B8" s="43">
        <v>2542.65</v>
      </c>
      <c r="C8" s="43">
        <v>79496.149999999994</v>
      </c>
      <c r="E8" s="45">
        <f t="shared" si="0"/>
        <v>-8.1827209533267095E-2</v>
      </c>
      <c r="F8" s="45">
        <f t="shared" si="1"/>
        <v>1.2366907915710771E-4</v>
      </c>
    </row>
    <row r="9" spans="1:8" x14ac:dyDescent="0.2">
      <c r="A9" s="42">
        <v>45608</v>
      </c>
      <c r="B9" s="43">
        <v>2475.15</v>
      </c>
      <c r="C9" s="43">
        <v>78675.179999999993</v>
      </c>
      <c r="E9" s="45">
        <f t="shared" si="0"/>
        <v>-2.6547106365406171E-2</v>
      </c>
      <c r="F9" s="45">
        <f t="shared" si="1"/>
        <v>-1.032716678732242E-2</v>
      </c>
    </row>
    <row r="10" spans="1:8" x14ac:dyDescent="0.2">
      <c r="A10" s="42">
        <v>45609</v>
      </c>
      <c r="B10" s="43">
        <v>2471.9</v>
      </c>
      <c r="C10" s="43">
        <v>77690.95</v>
      </c>
      <c r="E10" s="45">
        <f t="shared" si="0"/>
        <v>-1.313051734238329E-3</v>
      </c>
      <c r="F10" s="45">
        <f t="shared" si="1"/>
        <v>-1.2510044463832127E-2</v>
      </c>
    </row>
    <row r="11" spans="1:8" x14ac:dyDescent="0.2">
      <c r="A11" s="42">
        <v>45610</v>
      </c>
      <c r="B11" s="43">
        <v>2483.15</v>
      </c>
      <c r="C11" s="43">
        <v>77580.31</v>
      </c>
      <c r="E11" s="45">
        <f t="shared" si="0"/>
        <v>4.5511549819976533E-3</v>
      </c>
      <c r="F11" s="45">
        <f t="shared" si="1"/>
        <v>-1.424104094492337E-3</v>
      </c>
    </row>
    <row r="12" spans="1:8" x14ac:dyDescent="0.2">
      <c r="A12" s="42">
        <v>45614</v>
      </c>
      <c r="B12" s="43">
        <v>2483</v>
      </c>
      <c r="C12" s="43">
        <v>77339.009999999995</v>
      </c>
      <c r="E12" s="45">
        <f t="shared" si="0"/>
        <v>-6.0407144151618288E-5</v>
      </c>
      <c r="F12" s="45">
        <f t="shared" si="1"/>
        <v>-3.1103252874344393E-3</v>
      </c>
    </row>
    <row r="13" spans="1:8" x14ac:dyDescent="0.2">
      <c r="A13" s="42">
        <v>45615</v>
      </c>
      <c r="B13" s="43">
        <v>2483.1999999999998</v>
      </c>
      <c r="C13" s="43">
        <v>77578.38</v>
      </c>
      <c r="E13" s="45">
        <f t="shared" si="0"/>
        <v>8.0547724526708865E-5</v>
      </c>
      <c r="F13" s="45">
        <f t="shared" si="1"/>
        <v>3.0950745296585763E-3</v>
      </c>
    </row>
    <row r="14" spans="1:8" x14ac:dyDescent="0.2">
      <c r="A14" s="42">
        <v>45617</v>
      </c>
      <c r="B14" s="43">
        <v>2429.1999999999998</v>
      </c>
      <c r="C14" s="43">
        <v>77155.789999999994</v>
      </c>
      <c r="E14" s="45">
        <f t="shared" si="0"/>
        <v>-2.1746134020618559E-2</v>
      </c>
      <c r="F14" s="45">
        <f t="shared" si="1"/>
        <v>-5.4472650756565303E-3</v>
      </c>
    </row>
    <row r="15" spans="1:8" x14ac:dyDescent="0.2">
      <c r="A15" s="42">
        <v>45618</v>
      </c>
      <c r="B15" s="43">
        <v>2479</v>
      </c>
      <c r="C15" s="43">
        <v>79117.11</v>
      </c>
      <c r="E15" s="45">
        <f t="shared" si="0"/>
        <v>2.0500576321422766E-2</v>
      </c>
      <c r="F15" s="45">
        <f t="shared" si="1"/>
        <v>2.5420256859530661E-2</v>
      </c>
    </row>
    <row r="16" spans="1:8" x14ac:dyDescent="0.2">
      <c r="A16" s="42">
        <v>45621</v>
      </c>
      <c r="B16" s="43">
        <v>2460.6</v>
      </c>
      <c r="C16" s="43">
        <v>80109.850000000006</v>
      </c>
      <c r="E16" s="45">
        <f t="shared" si="0"/>
        <v>-7.4223477208552203E-3</v>
      </c>
      <c r="F16" s="45">
        <f t="shared" si="1"/>
        <v>1.2547728297962416E-2</v>
      </c>
    </row>
    <row r="17" spans="1:6" x14ac:dyDescent="0.2">
      <c r="A17" s="42">
        <v>45622</v>
      </c>
      <c r="B17" s="43">
        <v>2504.6999999999998</v>
      </c>
      <c r="C17" s="43">
        <v>80004.06</v>
      </c>
      <c r="E17" s="45">
        <f t="shared" si="0"/>
        <v>1.7922457937088479E-2</v>
      </c>
      <c r="F17" s="45">
        <f t="shared" si="1"/>
        <v>-1.3205617037106939E-3</v>
      </c>
    </row>
    <row r="18" spans="1:6" x14ac:dyDescent="0.2">
      <c r="A18" s="42">
        <v>45623</v>
      </c>
      <c r="B18" s="43">
        <v>2490.25</v>
      </c>
      <c r="C18" s="43">
        <v>80234.080000000002</v>
      </c>
      <c r="E18" s="45">
        <f t="shared" si="0"/>
        <v>-5.7691539904977914E-3</v>
      </c>
      <c r="F18" s="45">
        <f t="shared" si="1"/>
        <v>2.8751040884675613E-3</v>
      </c>
    </row>
    <row r="19" spans="1:6" x14ac:dyDescent="0.2">
      <c r="A19" s="42">
        <v>45624</v>
      </c>
      <c r="B19" s="43">
        <v>2458.85</v>
      </c>
      <c r="C19" s="43">
        <v>79043.740000000005</v>
      </c>
      <c r="E19" s="45">
        <f t="shared" si="0"/>
        <v>-1.2609175785563734E-2</v>
      </c>
      <c r="F19" s="45">
        <f t="shared" si="1"/>
        <v>-1.4835840331190892E-2</v>
      </c>
    </row>
    <row r="20" spans="1:6" x14ac:dyDescent="0.2">
      <c r="A20" s="42">
        <v>45625</v>
      </c>
      <c r="B20" s="43">
        <v>2479.9499999999998</v>
      </c>
      <c r="C20" s="43">
        <v>79802.789999999994</v>
      </c>
      <c r="E20" s="45">
        <f t="shared" si="0"/>
        <v>8.5812473310693665E-3</v>
      </c>
      <c r="F20" s="45">
        <f t="shared" si="1"/>
        <v>9.6029109958611306E-3</v>
      </c>
    </row>
    <row r="21" spans="1:6" x14ac:dyDescent="0.2">
      <c r="A21" s="42">
        <v>45628</v>
      </c>
      <c r="B21" s="43">
        <v>2479.25</v>
      </c>
      <c r="C21" s="43">
        <v>80248.08</v>
      </c>
      <c r="E21" s="45">
        <f t="shared" si="0"/>
        <v>-2.8226375531757421E-4</v>
      </c>
      <c r="F21" s="45">
        <f t="shared" si="1"/>
        <v>5.5798801019363879E-3</v>
      </c>
    </row>
    <row r="22" spans="1:6" x14ac:dyDescent="0.2">
      <c r="A22" s="42">
        <v>45629</v>
      </c>
      <c r="B22" s="43">
        <v>2469</v>
      </c>
      <c r="C22" s="43">
        <v>80845.75</v>
      </c>
      <c r="E22" s="45">
        <f t="shared" si="0"/>
        <v>-4.1343148129474637E-3</v>
      </c>
      <c r="F22" s="45">
        <f t="shared" si="1"/>
        <v>7.4477794359690376E-3</v>
      </c>
    </row>
    <row r="23" spans="1:6" x14ac:dyDescent="0.2">
      <c r="A23" s="42">
        <v>45630</v>
      </c>
      <c r="B23" s="43">
        <v>2459.6</v>
      </c>
      <c r="C23" s="43">
        <v>80956.33</v>
      </c>
      <c r="E23" s="45">
        <f t="shared" si="0"/>
        <v>-3.8072093965168452E-3</v>
      </c>
      <c r="F23" s="45">
        <f t="shared" si="1"/>
        <v>1.3677898961912253E-3</v>
      </c>
    </row>
    <row r="24" spans="1:6" x14ac:dyDescent="0.2">
      <c r="A24" s="42">
        <v>45631</v>
      </c>
      <c r="B24" s="43">
        <v>2452.3000000000002</v>
      </c>
      <c r="C24" s="43">
        <v>81765.86</v>
      </c>
      <c r="E24" s="45">
        <f t="shared" si="0"/>
        <v>-2.9679622702877407E-3</v>
      </c>
      <c r="F24" s="45">
        <f t="shared" si="1"/>
        <v>9.9995886671245936E-3</v>
      </c>
    </row>
    <row r="25" spans="1:6" x14ac:dyDescent="0.2">
      <c r="A25" s="42">
        <v>45632</v>
      </c>
      <c r="B25" s="43">
        <v>2429.6</v>
      </c>
      <c r="C25" s="43">
        <v>81709.119999999995</v>
      </c>
      <c r="E25" s="45">
        <f t="shared" si="0"/>
        <v>-9.2566162378176688E-3</v>
      </c>
      <c r="F25" s="45">
        <f t="shared" si="1"/>
        <v>-6.9393265110897432E-4</v>
      </c>
    </row>
    <row r="26" spans="1:6" x14ac:dyDescent="0.2">
      <c r="A26" s="42">
        <v>45635</v>
      </c>
      <c r="B26" s="43">
        <v>2385.8000000000002</v>
      </c>
      <c r="C26" s="43">
        <v>81508.460000000006</v>
      </c>
      <c r="E26" s="45">
        <f t="shared" si="0"/>
        <v>-1.8027658873888595E-2</v>
      </c>
      <c r="F26" s="45">
        <f t="shared" si="1"/>
        <v>-2.4557846174330226E-3</v>
      </c>
    </row>
    <row r="27" spans="1:6" x14ac:dyDescent="0.2">
      <c r="A27" s="42">
        <v>45636</v>
      </c>
      <c r="B27" s="43">
        <v>2389.8000000000002</v>
      </c>
      <c r="C27" s="43">
        <v>81510.05</v>
      </c>
      <c r="E27" s="45">
        <f t="shared" si="0"/>
        <v>1.6765864699471874E-3</v>
      </c>
      <c r="F27" s="45">
        <f t="shared" si="1"/>
        <v>1.9507177537110963E-5</v>
      </c>
    </row>
    <row r="28" spans="1:6" x14ac:dyDescent="0.2">
      <c r="A28" s="42">
        <v>45637</v>
      </c>
      <c r="B28" s="43">
        <v>2417.65</v>
      </c>
      <c r="C28" s="43">
        <v>81526.14</v>
      </c>
      <c r="E28" s="45">
        <f t="shared" si="0"/>
        <v>1.1653694869863548E-2</v>
      </c>
      <c r="F28" s="45">
        <f t="shared" si="1"/>
        <v>1.973989710470857E-4</v>
      </c>
    </row>
    <row r="29" spans="1:6" x14ac:dyDescent="0.2">
      <c r="A29" s="42">
        <v>45638</v>
      </c>
      <c r="B29" s="43">
        <v>2388.9499999999998</v>
      </c>
      <c r="C29" s="43">
        <v>81289.960000000006</v>
      </c>
      <c r="E29" s="45">
        <f t="shared" si="0"/>
        <v>-1.1871031787066066E-2</v>
      </c>
      <c r="F29" s="45">
        <f t="shared" si="1"/>
        <v>-2.8969849424981117E-3</v>
      </c>
    </row>
    <row r="30" spans="1:6" x14ac:dyDescent="0.2">
      <c r="A30" s="42">
        <v>45639</v>
      </c>
      <c r="B30" s="43">
        <v>2407.0500000000002</v>
      </c>
      <c r="C30" s="43">
        <v>82133.119999999995</v>
      </c>
      <c r="E30" s="45">
        <f t="shared" si="0"/>
        <v>7.5765503673163375E-3</v>
      </c>
      <c r="F30" s="45">
        <f t="shared" si="1"/>
        <v>1.0372252612745644E-2</v>
      </c>
    </row>
    <row r="31" spans="1:6" x14ac:dyDescent="0.2">
      <c r="A31" s="42">
        <v>45642</v>
      </c>
      <c r="B31" s="43">
        <v>2403.35</v>
      </c>
      <c r="C31" s="43">
        <v>81748.570000000007</v>
      </c>
      <c r="E31" s="45">
        <f t="shared" si="0"/>
        <v>-1.537151284767775E-3</v>
      </c>
      <c r="F31" s="45">
        <f t="shared" si="1"/>
        <v>-4.6820332650213264E-3</v>
      </c>
    </row>
    <row r="32" spans="1:6" x14ac:dyDescent="0.2">
      <c r="A32" s="42">
        <v>45643</v>
      </c>
      <c r="B32" s="43">
        <v>2356.8000000000002</v>
      </c>
      <c r="C32" s="43">
        <v>80684.45</v>
      </c>
      <c r="E32" s="45">
        <f t="shared" si="0"/>
        <v>-1.9368797719849264E-2</v>
      </c>
      <c r="F32" s="45">
        <f t="shared" si="1"/>
        <v>-1.3016986107524692E-2</v>
      </c>
    </row>
    <row r="33" spans="1:6" x14ac:dyDescent="0.2">
      <c r="A33" s="42">
        <v>45644</v>
      </c>
      <c r="B33" s="43">
        <v>2345.6999999999998</v>
      </c>
      <c r="C33" s="43">
        <v>80182.2</v>
      </c>
      <c r="E33" s="45">
        <f t="shared" si="0"/>
        <v>-4.7097759674135957E-3</v>
      </c>
      <c r="F33" s="45">
        <f t="shared" si="1"/>
        <v>-6.2248673691151146E-3</v>
      </c>
    </row>
    <row r="34" spans="1:6" x14ac:dyDescent="0.2">
      <c r="A34" s="42">
        <v>45645</v>
      </c>
      <c r="B34" s="43">
        <v>2292.9</v>
      </c>
      <c r="C34" s="43">
        <v>79218.05</v>
      </c>
      <c r="E34" s="45">
        <f t="shared" si="0"/>
        <v>-2.2509272285458383E-2</v>
      </c>
      <c r="F34" s="45">
        <f t="shared" si="1"/>
        <v>-1.2024489225788195E-2</v>
      </c>
    </row>
    <row r="35" spans="1:6" x14ac:dyDescent="0.2">
      <c r="A35" s="42">
        <v>45646</v>
      </c>
      <c r="B35" s="43">
        <v>2283.0500000000002</v>
      </c>
      <c r="C35" s="43">
        <v>78041.59</v>
      </c>
      <c r="E35" s="45">
        <f t="shared" si="0"/>
        <v>-4.2958698591303189E-3</v>
      </c>
      <c r="F35" s="45">
        <f t="shared" si="1"/>
        <v>-1.4850908347276995E-2</v>
      </c>
    </row>
    <row r="36" spans="1:6" x14ac:dyDescent="0.2">
      <c r="A36" s="42">
        <v>45649</v>
      </c>
      <c r="B36" s="43">
        <v>2279</v>
      </c>
      <c r="C36" s="43">
        <v>78540.17</v>
      </c>
      <c r="E36" s="45">
        <f t="shared" si="0"/>
        <v>-1.7739427520204031E-3</v>
      </c>
      <c r="F36" s="45">
        <f t="shared" si="1"/>
        <v>6.3886448238689364E-3</v>
      </c>
    </row>
    <row r="37" spans="1:6" x14ac:dyDescent="0.2">
      <c r="A37" s="42">
        <v>45650</v>
      </c>
      <c r="B37" s="43">
        <v>2284.15</v>
      </c>
      <c r="C37" s="43">
        <v>78472.87</v>
      </c>
      <c r="E37" s="45">
        <f t="shared" si="0"/>
        <v>2.2597630539710799E-3</v>
      </c>
      <c r="F37" s="45">
        <f t="shared" si="1"/>
        <v>-8.5688635509705306E-4</v>
      </c>
    </row>
    <row r="38" spans="1:6" x14ac:dyDescent="0.2">
      <c r="A38" s="42">
        <v>45652</v>
      </c>
      <c r="B38" s="43">
        <v>2261.4</v>
      </c>
      <c r="C38" s="43">
        <v>78472.479999999996</v>
      </c>
      <c r="E38" s="45">
        <f t="shared" si="0"/>
        <v>-9.9599413348510375E-3</v>
      </c>
      <c r="F38" s="45">
        <f t="shared" si="1"/>
        <v>-4.9698704787962765E-6</v>
      </c>
    </row>
    <row r="39" spans="1:6" x14ac:dyDescent="0.2">
      <c r="A39" s="42">
        <v>45653</v>
      </c>
      <c r="B39" s="43">
        <v>2270.9</v>
      </c>
      <c r="C39" s="43">
        <v>78699.070000000007</v>
      </c>
      <c r="E39" s="45">
        <f t="shared" si="0"/>
        <v>4.2009374723622536E-3</v>
      </c>
      <c r="F39" s="45">
        <f t="shared" si="1"/>
        <v>2.8875090987313143E-3</v>
      </c>
    </row>
    <row r="40" spans="1:6" x14ac:dyDescent="0.2">
      <c r="A40" s="42">
        <v>45656</v>
      </c>
      <c r="B40" s="43">
        <v>2286.4499999999998</v>
      </c>
      <c r="C40" s="43">
        <v>78248.13</v>
      </c>
      <c r="E40" s="45">
        <f t="shared" si="0"/>
        <v>6.8475053943369262E-3</v>
      </c>
      <c r="F40" s="45">
        <f t="shared" si="1"/>
        <v>-5.7299279394280303E-3</v>
      </c>
    </row>
    <row r="41" spans="1:6" x14ac:dyDescent="0.2">
      <c r="A41" s="42">
        <v>45657</v>
      </c>
      <c r="B41" s="43">
        <v>2282.0500000000002</v>
      </c>
      <c r="C41" s="43">
        <v>78139.009999999995</v>
      </c>
      <c r="E41" s="45">
        <f t="shared" si="0"/>
        <v>-1.9243805899974355E-3</v>
      </c>
      <c r="F41" s="45">
        <f t="shared" si="1"/>
        <v>-1.3945381186746557E-3</v>
      </c>
    </row>
    <row r="42" spans="1:6" x14ac:dyDescent="0.2">
      <c r="A42" s="42">
        <v>45658</v>
      </c>
      <c r="B42" s="43">
        <v>2304.75</v>
      </c>
      <c r="C42" s="43">
        <v>78507.41</v>
      </c>
      <c r="E42" s="45">
        <f t="shared" si="0"/>
        <v>9.9471965995485707E-3</v>
      </c>
      <c r="F42" s="45">
        <f t="shared" si="1"/>
        <v>4.7146745268465615E-3</v>
      </c>
    </row>
    <row r="43" spans="1:6" x14ac:dyDescent="0.2">
      <c r="A43" s="42">
        <v>45659</v>
      </c>
      <c r="B43" s="43">
        <v>2343</v>
      </c>
      <c r="C43" s="43">
        <v>79943.710000000006</v>
      </c>
      <c r="E43" s="45">
        <f t="shared" si="0"/>
        <v>1.6596160104132771E-2</v>
      </c>
      <c r="F43" s="45">
        <f t="shared" si="1"/>
        <v>1.829508832350988E-2</v>
      </c>
    </row>
    <row r="44" spans="1:6" x14ac:dyDescent="0.2">
      <c r="A44" s="42">
        <v>45660</v>
      </c>
      <c r="B44" s="43">
        <v>2334.25</v>
      </c>
      <c r="C44" s="43">
        <v>79223.11</v>
      </c>
      <c r="E44" s="45">
        <f t="shared" si="0"/>
        <v>-3.7345283824157063E-3</v>
      </c>
      <c r="F44" s="45">
        <f t="shared" si="1"/>
        <v>-9.0138423648340286E-3</v>
      </c>
    </row>
    <row r="45" spans="1:6" x14ac:dyDescent="0.2">
      <c r="A45" s="42">
        <v>45663</v>
      </c>
      <c r="B45" s="43">
        <v>2268.15</v>
      </c>
      <c r="C45" s="43">
        <v>77964.990000000005</v>
      </c>
      <c r="E45" s="45">
        <f t="shared" si="0"/>
        <v>-2.8317446717360997E-2</v>
      </c>
      <c r="F45" s="45">
        <f t="shared" si="1"/>
        <v>-1.5880719653646458E-2</v>
      </c>
    </row>
    <row r="46" spans="1:6" x14ac:dyDescent="0.2">
      <c r="A46" s="42">
        <v>45664</v>
      </c>
      <c r="B46" s="43">
        <v>2293.1</v>
      </c>
      <c r="C46" s="43">
        <v>78199.11</v>
      </c>
      <c r="E46" s="45">
        <f t="shared" si="0"/>
        <v>1.1000154310781834E-2</v>
      </c>
      <c r="F46" s="45">
        <f t="shared" si="1"/>
        <v>3.0028862955025753E-3</v>
      </c>
    </row>
    <row r="47" spans="1:6" x14ac:dyDescent="0.2">
      <c r="A47" s="42">
        <v>45665</v>
      </c>
      <c r="B47" s="43">
        <v>2334.4</v>
      </c>
      <c r="C47" s="43">
        <v>78148.490000000005</v>
      </c>
      <c r="E47" s="45">
        <f t="shared" si="0"/>
        <v>1.8010553399328499E-2</v>
      </c>
      <c r="F47" s="45">
        <f t="shared" si="1"/>
        <v>-6.4732194522412517E-4</v>
      </c>
    </row>
    <row r="48" spans="1:6" x14ac:dyDescent="0.2">
      <c r="A48" s="42">
        <v>45666</v>
      </c>
      <c r="B48" s="43">
        <v>2350.6</v>
      </c>
      <c r="C48" s="43">
        <v>77620.210000000006</v>
      </c>
      <c r="E48" s="45">
        <f t="shared" si="0"/>
        <v>6.9396847155585237E-3</v>
      </c>
      <c r="F48" s="45">
        <f t="shared" si="1"/>
        <v>-6.7599514718710346E-3</v>
      </c>
    </row>
    <row r="49" spans="1:6" x14ac:dyDescent="0.2">
      <c r="A49" s="42">
        <v>45667</v>
      </c>
      <c r="B49" s="43">
        <v>2319.6999999999998</v>
      </c>
      <c r="C49" s="43">
        <v>77378.91</v>
      </c>
      <c r="E49" s="45">
        <f t="shared" si="0"/>
        <v>-1.3145579851952732E-2</v>
      </c>
      <c r="F49" s="45">
        <f t="shared" si="1"/>
        <v>-3.1087264515259993E-3</v>
      </c>
    </row>
    <row r="50" spans="1:6" x14ac:dyDescent="0.2">
      <c r="A50" s="42">
        <v>45670</v>
      </c>
      <c r="B50" s="43">
        <v>2252.75</v>
      </c>
      <c r="C50" s="43">
        <v>76330.009999999995</v>
      </c>
      <c r="E50" s="45">
        <f t="shared" si="0"/>
        <v>-2.8861490710005527E-2</v>
      </c>
      <c r="F50" s="45">
        <f t="shared" si="1"/>
        <v>-1.355537316304932E-2</v>
      </c>
    </row>
    <row r="51" spans="1:6" x14ac:dyDescent="0.2">
      <c r="A51" s="42">
        <v>45671</v>
      </c>
      <c r="B51" s="43">
        <v>2239.75</v>
      </c>
      <c r="C51" s="43">
        <v>76499.63</v>
      </c>
      <c r="E51" s="45">
        <f t="shared" si="0"/>
        <v>-5.7707246698479632E-3</v>
      </c>
      <c r="F51" s="45">
        <f t="shared" si="1"/>
        <v>2.2221928177398368E-3</v>
      </c>
    </row>
    <row r="52" spans="1:6" x14ac:dyDescent="0.2">
      <c r="A52" s="42">
        <v>45672</v>
      </c>
      <c r="B52" s="43">
        <v>2228.6</v>
      </c>
      <c r="C52" s="43">
        <v>76724.08</v>
      </c>
      <c r="E52" s="45">
        <f t="shared" si="0"/>
        <v>-4.9782341779216832E-3</v>
      </c>
      <c r="F52" s="45">
        <f t="shared" si="1"/>
        <v>2.9340011186981831E-3</v>
      </c>
    </row>
    <row r="53" spans="1:6" x14ac:dyDescent="0.2">
      <c r="A53" s="42">
        <v>45673</v>
      </c>
      <c r="B53" s="43">
        <v>2216.4</v>
      </c>
      <c r="C53" s="43">
        <v>77042.820000000007</v>
      </c>
      <c r="E53" s="45">
        <f t="shared" si="0"/>
        <v>-5.4742887911692628E-3</v>
      </c>
      <c r="F53" s="45">
        <f t="shared" si="1"/>
        <v>4.1543671817245017E-3</v>
      </c>
    </row>
    <row r="54" spans="1:6" x14ac:dyDescent="0.2">
      <c r="A54" s="42">
        <v>45674</v>
      </c>
      <c r="B54" s="43">
        <v>2259.6999999999998</v>
      </c>
      <c r="C54" s="43">
        <v>76619.33</v>
      </c>
      <c r="E54" s="45">
        <f t="shared" si="0"/>
        <v>1.9536184804186847E-2</v>
      </c>
      <c r="F54" s="45">
        <f t="shared" si="1"/>
        <v>-5.4968133305609169E-3</v>
      </c>
    </row>
    <row r="55" spans="1:6" x14ac:dyDescent="0.2">
      <c r="A55" s="42">
        <v>45677</v>
      </c>
      <c r="B55" s="43">
        <v>2280.1</v>
      </c>
      <c r="C55" s="43">
        <v>77073.440000000002</v>
      </c>
      <c r="E55" s="45">
        <f t="shared" si="0"/>
        <v>9.0277470460681034E-3</v>
      </c>
      <c r="F55" s="45">
        <f t="shared" si="1"/>
        <v>5.9268333461020943E-3</v>
      </c>
    </row>
    <row r="56" spans="1:6" x14ac:dyDescent="0.2">
      <c r="A56" s="42">
        <v>45678</v>
      </c>
      <c r="B56" s="43">
        <v>2259.65</v>
      </c>
      <c r="C56" s="43">
        <v>75838.36</v>
      </c>
      <c r="E56" s="45">
        <f t="shared" si="0"/>
        <v>-8.9689048725932283E-3</v>
      </c>
      <c r="F56" s="45">
        <f t="shared" si="1"/>
        <v>-1.6024716166814428E-2</v>
      </c>
    </row>
    <row r="57" spans="1:6" x14ac:dyDescent="0.2">
      <c r="A57" s="42">
        <v>45679</v>
      </c>
      <c r="B57" s="43">
        <v>2262.75</v>
      </c>
      <c r="C57" s="43">
        <v>76404.990000000005</v>
      </c>
      <c r="E57" s="45">
        <f t="shared" si="0"/>
        <v>1.371893877370349E-3</v>
      </c>
      <c r="F57" s="45">
        <f t="shared" si="1"/>
        <v>7.4715486991016773E-3</v>
      </c>
    </row>
    <row r="58" spans="1:6" x14ac:dyDescent="0.2">
      <c r="A58" s="42">
        <v>45680</v>
      </c>
      <c r="B58" s="43">
        <v>2276.4499999999998</v>
      </c>
      <c r="C58" s="43">
        <v>76520.38</v>
      </c>
      <c r="E58" s="45">
        <f t="shared" si="0"/>
        <v>6.0545796044635149E-3</v>
      </c>
      <c r="F58" s="45">
        <f t="shared" si="1"/>
        <v>1.5102416740058393E-3</v>
      </c>
    </row>
    <row r="59" spans="1:6" x14ac:dyDescent="0.2">
      <c r="A59" s="42">
        <v>45681</v>
      </c>
      <c r="B59" s="43">
        <v>2261.8000000000002</v>
      </c>
      <c r="C59" s="43">
        <v>76190.460000000006</v>
      </c>
      <c r="E59" s="45">
        <f t="shared" si="0"/>
        <v>-6.4354587186187433E-3</v>
      </c>
      <c r="F59" s="45">
        <f t="shared" si="1"/>
        <v>-4.3115311241266477E-3</v>
      </c>
    </row>
    <row r="60" spans="1:6" x14ac:dyDescent="0.2">
      <c r="A60" s="42">
        <v>45684</v>
      </c>
      <c r="B60" s="43">
        <v>2251.65</v>
      </c>
      <c r="C60" s="43">
        <v>75366.17</v>
      </c>
      <c r="E60" s="45">
        <f t="shared" si="0"/>
        <v>-4.4875762666902862E-3</v>
      </c>
      <c r="F60" s="45">
        <f t="shared" si="1"/>
        <v>-1.0818808548996924E-2</v>
      </c>
    </row>
    <row r="61" spans="1:6" x14ac:dyDescent="0.2">
      <c r="A61" s="42">
        <v>45685</v>
      </c>
      <c r="B61" s="43">
        <v>2241.25</v>
      </c>
      <c r="C61" s="43">
        <v>75901.41</v>
      </c>
      <c r="E61" s="45">
        <f t="shared" si="0"/>
        <v>-4.6188350764994959E-3</v>
      </c>
      <c r="F61" s="45">
        <f t="shared" si="1"/>
        <v>7.1018601582116389E-3</v>
      </c>
    </row>
    <row r="62" spans="1:6" x14ac:dyDescent="0.2">
      <c r="A62" s="42">
        <v>45686</v>
      </c>
      <c r="B62" s="43">
        <v>2221.65</v>
      </c>
      <c r="C62" s="43">
        <v>76532.960000000006</v>
      </c>
      <c r="E62" s="45">
        <f t="shared" si="0"/>
        <v>-8.7451199107640414E-3</v>
      </c>
      <c r="F62" s="45">
        <f t="shared" si="1"/>
        <v>8.320662290726916E-3</v>
      </c>
    </row>
    <row r="63" spans="1:6" x14ac:dyDescent="0.2">
      <c r="A63" s="42">
        <v>45687</v>
      </c>
      <c r="B63" s="43">
        <v>2250.9</v>
      </c>
      <c r="C63" s="43">
        <v>76759.81</v>
      </c>
      <c r="E63" s="45">
        <f t="shared" si="0"/>
        <v>1.3165890216730808E-2</v>
      </c>
      <c r="F63" s="45">
        <f t="shared" si="1"/>
        <v>2.964082403189309E-3</v>
      </c>
    </row>
    <row r="64" spans="1:6" x14ac:dyDescent="0.2">
      <c r="A64" s="42">
        <v>45688</v>
      </c>
      <c r="B64" s="43">
        <v>2301.0500000000002</v>
      </c>
      <c r="C64" s="43">
        <v>77500.570000000007</v>
      </c>
      <c r="E64" s="45">
        <f t="shared" si="0"/>
        <v>2.2279976898129678E-2</v>
      </c>
      <c r="F64" s="45">
        <f t="shared" si="1"/>
        <v>9.6503626051186071E-3</v>
      </c>
    </row>
    <row r="65" spans="1:6" x14ac:dyDescent="0.2">
      <c r="A65" s="42">
        <v>45689</v>
      </c>
      <c r="B65" s="43">
        <v>2350.8000000000002</v>
      </c>
      <c r="C65" s="43">
        <v>77505.960000000006</v>
      </c>
      <c r="E65" s="45">
        <f t="shared" si="0"/>
        <v>2.162056452489081E-2</v>
      </c>
      <c r="F65" s="45">
        <f t="shared" si="1"/>
        <v>6.9547875583359157E-5</v>
      </c>
    </row>
    <row r="66" spans="1:6" x14ac:dyDescent="0.2">
      <c r="A66" s="42">
        <v>45691</v>
      </c>
      <c r="B66" s="43">
        <v>2293.6</v>
      </c>
      <c r="C66" s="43">
        <v>77186.740000000005</v>
      </c>
      <c r="E66" s="45">
        <f t="shared" si="0"/>
        <v>-2.433214224944711E-2</v>
      </c>
      <c r="F66" s="45">
        <f t="shared" si="1"/>
        <v>-4.1186510043872901E-3</v>
      </c>
    </row>
    <row r="67" spans="1:6" x14ac:dyDescent="0.2">
      <c r="A67" s="42">
        <v>45692</v>
      </c>
      <c r="B67" s="43">
        <v>2355.25</v>
      </c>
      <c r="C67" s="43">
        <v>78583.81</v>
      </c>
      <c r="E67" s="45">
        <f t="shared" si="0"/>
        <v>2.6879141960237222E-2</v>
      </c>
      <c r="F67" s="45">
        <f t="shared" si="1"/>
        <v>1.8099870521801963E-2</v>
      </c>
    </row>
    <row r="68" spans="1:6" x14ac:dyDescent="0.2">
      <c r="A68" s="42">
        <v>45693</v>
      </c>
      <c r="B68" s="43">
        <v>2275.65</v>
      </c>
      <c r="C68" s="43">
        <v>78271.28</v>
      </c>
      <c r="E68" s="45">
        <f t="shared" si="0"/>
        <v>-3.3796836853837137E-2</v>
      </c>
      <c r="F68" s="45">
        <f t="shared" si="1"/>
        <v>-3.9770278381768311E-3</v>
      </c>
    </row>
    <row r="69" spans="1:6" x14ac:dyDescent="0.2">
      <c r="A69" s="42">
        <v>45694</v>
      </c>
      <c r="B69" s="43">
        <v>2263.35</v>
      </c>
      <c r="C69" s="43">
        <v>78058.16</v>
      </c>
      <c r="E69" s="45">
        <f t="shared" ref="E69:E132" si="2">(B69-B68)/B68</f>
        <v>-5.4050491068486726E-3</v>
      </c>
      <c r="F69" s="45">
        <f t="shared" ref="F69:F132" si="3">(C69-C68)/C68</f>
        <v>-2.7228378020647593E-3</v>
      </c>
    </row>
    <row r="70" spans="1:6" x14ac:dyDescent="0.2">
      <c r="A70" s="42">
        <v>45695</v>
      </c>
      <c r="B70" s="43">
        <v>2272.4</v>
      </c>
      <c r="C70" s="43">
        <v>77860.19</v>
      </c>
      <c r="E70" s="45">
        <f t="shared" si="2"/>
        <v>3.9984978019308465E-3</v>
      </c>
      <c r="F70" s="45">
        <f t="shared" si="3"/>
        <v>-2.5361858388668291E-3</v>
      </c>
    </row>
    <row r="71" spans="1:6" x14ac:dyDescent="0.2">
      <c r="A71" s="42">
        <v>45698</v>
      </c>
      <c r="B71" s="43">
        <v>2269.85</v>
      </c>
      <c r="C71" s="43">
        <v>77311.8</v>
      </c>
      <c r="E71" s="45">
        <f t="shared" si="2"/>
        <v>-1.1221615912692228E-3</v>
      </c>
      <c r="F71" s="45">
        <f t="shared" si="3"/>
        <v>-7.0432656277874409E-3</v>
      </c>
    </row>
    <row r="72" spans="1:6" x14ac:dyDescent="0.2">
      <c r="A72" s="42">
        <v>45699</v>
      </c>
      <c r="B72" s="43">
        <v>2239.9</v>
      </c>
      <c r="C72" s="43">
        <v>76293.600000000006</v>
      </c>
      <c r="E72" s="45">
        <f t="shared" si="2"/>
        <v>-1.319470449589172E-2</v>
      </c>
      <c r="F72" s="45">
        <f t="shared" si="3"/>
        <v>-1.3170046487082141E-2</v>
      </c>
    </row>
    <row r="73" spans="1:6" x14ac:dyDescent="0.2">
      <c r="A73" s="42">
        <v>45700</v>
      </c>
      <c r="B73" s="43">
        <v>2228.0500000000002</v>
      </c>
      <c r="C73" s="43">
        <v>76171.08</v>
      </c>
      <c r="E73" s="45">
        <f t="shared" si="2"/>
        <v>-5.2904147506584705E-3</v>
      </c>
      <c r="F73" s="45">
        <f t="shared" si="3"/>
        <v>-1.6059014124383182E-3</v>
      </c>
    </row>
    <row r="74" spans="1:6" x14ac:dyDescent="0.2">
      <c r="A74" s="42">
        <v>45701</v>
      </c>
      <c r="B74" s="43">
        <v>2235.9499999999998</v>
      </c>
      <c r="C74" s="43">
        <v>76138.97</v>
      </c>
      <c r="E74" s="45">
        <f t="shared" si="2"/>
        <v>3.5457013980833623E-3</v>
      </c>
      <c r="F74" s="45">
        <f t="shared" si="3"/>
        <v>-4.2155106636272694E-4</v>
      </c>
    </row>
    <row r="75" spans="1:6" x14ac:dyDescent="0.2">
      <c r="A75" s="42">
        <v>45702</v>
      </c>
      <c r="B75" s="43">
        <v>2230.85</v>
      </c>
      <c r="C75" s="43">
        <v>75939.210000000006</v>
      </c>
      <c r="E75" s="45">
        <f t="shared" si="2"/>
        <v>-2.2809096804489856E-3</v>
      </c>
      <c r="F75" s="45">
        <f t="shared" si="3"/>
        <v>-2.6236236187591553E-3</v>
      </c>
    </row>
    <row r="76" spans="1:6" x14ac:dyDescent="0.2">
      <c r="A76" s="42">
        <v>45705</v>
      </c>
      <c r="B76" s="43">
        <v>2248.65</v>
      </c>
      <c r="C76" s="43">
        <v>75996.86</v>
      </c>
      <c r="E76" s="45">
        <f t="shared" si="2"/>
        <v>7.979021449223472E-3</v>
      </c>
      <c r="F76" s="45">
        <f t="shared" si="3"/>
        <v>7.5915985957707719E-4</v>
      </c>
    </row>
    <row r="77" spans="1:6" x14ac:dyDescent="0.2">
      <c r="A77" s="42">
        <v>45706</v>
      </c>
      <c r="B77" s="43">
        <v>2237.5</v>
      </c>
      <c r="C77" s="43">
        <v>75967.39</v>
      </c>
      <c r="E77" s="45">
        <f t="shared" si="2"/>
        <v>-4.9585306739599721E-3</v>
      </c>
      <c r="F77" s="45">
        <f t="shared" si="3"/>
        <v>-3.8777917929768628E-4</v>
      </c>
    </row>
    <row r="78" spans="1:6" x14ac:dyDescent="0.2">
      <c r="A78" s="42">
        <v>45707</v>
      </c>
      <c r="B78" s="43">
        <v>2236.9499999999998</v>
      </c>
      <c r="C78" s="43">
        <v>75939.179999999993</v>
      </c>
      <c r="E78" s="45">
        <f t="shared" si="2"/>
        <v>-2.4581005586600307E-4</v>
      </c>
      <c r="F78" s="45">
        <f t="shared" si="3"/>
        <v>-3.7134354622432602E-4</v>
      </c>
    </row>
    <row r="79" spans="1:6" x14ac:dyDescent="0.2">
      <c r="A79" s="42">
        <v>45708</v>
      </c>
      <c r="B79" s="43">
        <v>2249.3000000000002</v>
      </c>
      <c r="C79" s="43">
        <v>75735.960000000006</v>
      </c>
      <c r="E79" s="45">
        <f t="shared" si="2"/>
        <v>5.5209101678626547E-3</v>
      </c>
      <c r="F79" s="45">
        <f t="shared" si="3"/>
        <v>-2.6760889438098572E-3</v>
      </c>
    </row>
    <row r="80" spans="1:6" x14ac:dyDescent="0.2">
      <c r="A80" s="42">
        <v>45709</v>
      </c>
      <c r="B80" s="43">
        <v>2257.1999999999998</v>
      </c>
      <c r="C80" s="43">
        <v>75311.06</v>
      </c>
      <c r="E80" s="45">
        <f t="shared" si="2"/>
        <v>3.5122037967366005E-3</v>
      </c>
      <c r="F80" s="45">
        <f t="shared" si="3"/>
        <v>-5.6102807701917121E-3</v>
      </c>
    </row>
    <row r="81" spans="1:6" x14ac:dyDescent="0.2">
      <c r="A81" s="42">
        <v>45712</v>
      </c>
      <c r="B81" s="43">
        <v>2248.4499999999998</v>
      </c>
      <c r="C81" s="43">
        <v>74454.41</v>
      </c>
      <c r="E81" s="45">
        <f t="shared" si="2"/>
        <v>-3.8764841396420348E-3</v>
      </c>
      <c r="F81" s="45">
        <f t="shared" si="3"/>
        <v>-1.1374823299525915E-2</v>
      </c>
    </row>
    <row r="82" spans="1:6" x14ac:dyDescent="0.2">
      <c r="A82" s="42">
        <v>45713</v>
      </c>
      <c r="B82" s="43">
        <v>2225</v>
      </c>
      <c r="C82" s="43">
        <v>74602.12</v>
      </c>
      <c r="E82" s="45">
        <f t="shared" si="2"/>
        <v>-1.0429406924770318E-2</v>
      </c>
      <c r="F82" s="45">
        <f t="shared" si="3"/>
        <v>1.9838986031853836E-3</v>
      </c>
    </row>
    <row r="83" spans="1:6" x14ac:dyDescent="0.2">
      <c r="A83" s="42">
        <v>45715</v>
      </c>
      <c r="B83" s="43">
        <v>2213.9</v>
      </c>
      <c r="C83" s="43">
        <v>74612.429999999993</v>
      </c>
      <c r="E83" s="45">
        <f t="shared" si="2"/>
        <v>-4.9887640449437793E-3</v>
      </c>
      <c r="F83" s="45">
        <f t="shared" si="3"/>
        <v>1.3819982595665743E-4</v>
      </c>
    </row>
    <row r="84" spans="1:6" x14ac:dyDescent="0.2">
      <c r="A84" s="42">
        <v>45716</v>
      </c>
      <c r="B84" s="43">
        <v>2179.9499999999998</v>
      </c>
      <c r="C84" s="43">
        <v>73198.100000000006</v>
      </c>
      <c r="E84" s="45">
        <f t="shared" si="2"/>
        <v>-1.5334929310267073E-2</v>
      </c>
      <c r="F84" s="45">
        <f t="shared" si="3"/>
        <v>-1.8955688750520353E-2</v>
      </c>
    </row>
    <row r="85" spans="1:6" x14ac:dyDescent="0.2">
      <c r="A85" s="42">
        <v>45719</v>
      </c>
      <c r="B85" s="43">
        <v>2168.4</v>
      </c>
      <c r="C85" s="43">
        <v>73085.94</v>
      </c>
      <c r="E85" s="45">
        <f t="shared" si="2"/>
        <v>-5.2982866579507461E-3</v>
      </c>
      <c r="F85" s="45">
        <f t="shared" si="3"/>
        <v>-1.5322802094590363E-3</v>
      </c>
    </row>
    <row r="86" spans="1:6" x14ac:dyDescent="0.2">
      <c r="A86" s="42">
        <v>45720</v>
      </c>
      <c r="B86" s="43">
        <v>2132.35</v>
      </c>
      <c r="C86" s="43">
        <v>72989.929999999993</v>
      </c>
      <c r="E86" s="45">
        <f t="shared" si="2"/>
        <v>-1.6625161409334153E-2</v>
      </c>
      <c r="F86" s="45">
        <f t="shared" si="3"/>
        <v>-1.313658960943915E-3</v>
      </c>
    </row>
    <row r="87" spans="1:6" x14ac:dyDescent="0.2">
      <c r="A87" s="42">
        <v>45721</v>
      </c>
      <c r="B87" s="43">
        <v>2165.25</v>
      </c>
      <c r="C87" s="43">
        <v>73730.23</v>
      </c>
      <c r="E87" s="45">
        <f t="shared" si="2"/>
        <v>1.5428986798602525E-2</v>
      </c>
      <c r="F87" s="45">
        <f t="shared" si="3"/>
        <v>1.0142494998967707E-2</v>
      </c>
    </row>
    <row r="88" spans="1:6" x14ac:dyDescent="0.2">
      <c r="A88" s="42">
        <v>45722</v>
      </c>
      <c r="B88" s="43">
        <v>2267.1</v>
      </c>
      <c r="C88" s="43">
        <v>74340.09</v>
      </c>
      <c r="E88" s="45">
        <f t="shared" si="2"/>
        <v>4.7038448216141282E-2</v>
      </c>
      <c r="F88" s="45">
        <f t="shared" si="3"/>
        <v>8.2715054598364954E-3</v>
      </c>
    </row>
    <row r="89" spans="1:6" x14ac:dyDescent="0.2">
      <c r="A89" s="42">
        <v>45723</v>
      </c>
      <c r="B89" s="43">
        <v>2269.0500000000002</v>
      </c>
      <c r="C89" s="43">
        <v>74332.58</v>
      </c>
      <c r="E89" s="45">
        <f t="shared" si="2"/>
        <v>8.6012968109050014E-4</v>
      </c>
      <c r="F89" s="45">
        <f t="shared" si="3"/>
        <v>-1.01022207532904E-4</v>
      </c>
    </row>
    <row r="90" spans="1:6" x14ac:dyDescent="0.2">
      <c r="A90" s="42">
        <v>45726</v>
      </c>
      <c r="B90" s="43">
        <v>2279.3000000000002</v>
      </c>
      <c r="C90" s="43">
        <v>74115.17</v>
      </c>
      <c r="E90" s="45">
        <f t="shared" si="2"/>
        <v>4.5173090059716621E-3</v>
      </c>
      <c r="F90" s="45">
        <f t="shared" si="3"/>
        <v>-2.9248278480311523E-3</v>
      </c>
    </row>
    <row r="91" spans="1:6" x14ac:dyDescent="0.2">
      <c r="A91" s="42">
        <v>45727</v>
      </c>
      <c r="B91" s="43">
        <v>2286.6999999999998</v>
      </c>
      <c r="C91" s="43">
        <v>74102.320000000007</v>
      </c>
      <c r="E91" s="45">
        <f t="shared" si="2"/>
        <v>3.2466108015617233E-3</v>
      </c>
      <c r="F91" s="45">
        <f t="shared" si="3"/>
        <v>-1.7337881030282017E-4</v>
      </c>
    </row>
    <row r="92" spans="1:6" x14ac:dyDescent="0.2">
      <c r="A92" s="42">
        <v>45728</v>
      </c>
      <c r="B92" s="43">
        <v>2251</v>
      </c>
      <c r="C92" s="43">
        <v>74029.759999999995</v>
      </c>
      <c r="E92" s="45">
        <f t="shared" si="2"/>
        <v>-1.5612017317531736E-2</v>
      </c>
      <c r="F92" s="45">
        <f t="shared" si="3"/>
        <v>-9.791866165595384E-4</v>
      </c>
    </row>
    <row r="93" spans="1:6" x14ac:dyDescent="0.2">
      <c r="A93" s="42">
        <v>45729</v>
      </c>
      <c r="B93" s="43">
        <v>2230.9499999999998</v>
      </c>
      <c r="C93" s="43">
        <v>73828.91</v>
      </c>
      <c r="E93" s="45">
        <f t="shared" si="2"/>
        <v>-8.9071523767215374E-3</v>
      </c>
      <c r="F93" s="45">
        <f t="shared" si="3"/>
        <v>-2.7130980837975333E-3</v>
      </c>
    </row>
    <row r="94" spans="1:6" x14ac:dyDescent="0.2">
      <c r="A94" s="42">
        <v>45733</v>
      </c>
      <c r="B94" s="43">
        <v>2219.8000000000002</v>
      </c>
      <c r="C94" s="43">
        <v>74169.95</v>
      </c>
      <c r="E94" s="45">
        <f t="shared" si="2"/>
        <v>-4.9978708621885911E-3</v>
      </c>
      <c r="F94" s="45">
        <f t="shared" si="3"/>
        <v>4.6193286613603474E-3</v>
      </c>
    </row>
    <row r="95" spans="1:6" x14ac:dyDescent="0.2">
      <c r="A95" s="42">
        <v>45734</v>
      </c>
      <c r="B95" s="43">
        <v>2273.6</v>
      </c>
      <c r="C95" s="43">
        <v>75301.259999999995</v>
      </c>
      <c r="E95" s="45">
        <f t="shared" si="2"/>
        <v>2.423641769528774E-2</v>
      </c>
      <c r="F95" s="45">
        <f t="shared" si="3"/>
        <v>1.5252942734894626E-2</v>
      </c>
    </row>
    <row r="96" spans="1:6" x14ac:dyDescent="0.2">
      <c r="A96" s="42">
        <v>45735</v>
      </c>
      <c r="B96" s="43">
        <v>2279.9</v>
      </c>
      <c r="C96" s="43">
        <v>75449.05</v>
      </c>
      <c r="E96" s="45">
        <f t="shared" si="2"/>
        <v>2.7709359605912133E-3</v>
      </c>
      <c r="F96" s="45">
        <f t="shared" si="3"/>
        <v>1.9626497617703628E-3</v>
      </c>
    </row>
    <row r="97" spans="1:6" x14ac:dyDescent="0.2">
      <c r="A97" s="42">
        <v>45736</v>
      </c>
      <c r="B97" s="43">
        <v>2287</v>
      </c>
      <c r="C97" s="43">
        <v>76348.06</v>
      </c>
      <c r="E97" s="45">
        <f t="shared" si="2"/>
        <v>3.1141716741961965E-3</v>
      </c>
      <c r="F97" s="45">
        <f t="shared" si="3"/>
        <v>1.1915458180056538E-2</v>
      </c>
    </row>
    <row r="98" spans="1:6" x14ac:dyDescent="0.2">
      <c r="A98" s="42">
        <v>45737</v>
      </c>
      <c r="B98" s="43">
        <v>2300.25</v>
      </c>
      <c r="C98" s="43">
        <v>76905.509999999995</v>
      </c>
      <c r="E98" s="45">
        <f t="shared" si="2"/>
        <v>5.793616090948841E-3</v>
      </c>
      <c r="F98" s="45">
        <f t="shared" si="3"/>
        <v>7.3014297940248527E-3</v>
      </c>
    </row>
    <row r="99" spans="1:6" x14ac:dyDescent="0.2">
      <c r="A99" s="42">
        <v>45740</v>
      </c>
      <c r="B99" s="43">
        <v>2322</v>
      </c>
      <c r="C99" s="43">
        <v>77984.38</v>
      </c>
      <c r="E99" s="45">
        <f t="shared" si="2"/>
        <v>9.4554939680469522E-3</v>
      </c>
      <c r="F99" s="45">
        <f t="shared" si="3"/>
        <v>1.4028513691671896E-2</v>
      </c>
    </row>
    <row r="100" spans="1:6" x14ac:dyDescent="0.2">
      <c r="A100" s="42">
        <v>45741</v>
      </c>
      <c r="B100" s="43">
        <v>2330.35</v>
      </c>
      <c r="C100" s="43">
        <v>78017.19</v>
      </c>
      <c r="E100" s="45">
        <f t="shared" si="2"/>
        <v>3.5960378983634408E-3</v>
      </c>
      <c r="F100" s="45">
        <f t="shared" si="3"/>
        <v>4.2072527857498735E-4</v>
      </c>
    </row>
    <row r="101" spans="1:6" x14ac:dyDescent="0.2">
      <c r="A101" s="42">
        <v>45742</v>
      </c>
      <c r="B101" s="43">
        <v>2326.1999999999998</v>
      </c>
      <c r="C101" s="43">
        <v>77288.5</v>
      </c>
      <c r="E101" s="45">
        <f t="shared" si="2"/>
        <v>-1.7808483704165002E-3</v>
      </c>
      <c r="F101" s="45">
        <f t="shared" si="3"/>
        <v>-9.3401210681902571E-3</v>
      </c>
    </row>
    <row r="102" spans="1:6" x14ac:dyDescent="0.2">
      <c r="A102" s="42">
        <v>45743</v>
      </c>
      <c r="B102" s="43">
        <v>2338.1999999999998</v>
      </c>
      <c r="C102" s="43">
        <v>77606.429999999993</v>
      </c>
      <c r="E102" s="45">
        <f t="shared" si="2"/>
        <v>5.158627805003869E-3</v>
      </c>
      <c r="F102" s="45">
        <f t="shared" si="3"/>
        <v>4.1135485874352982E-3</v>
      </c>
    </row>
    <row r="103" spans="1:6" x14ac:dyDescent="0.2">
      <c r="A103" s="42">
        <v>45744</v>
      </c>
      <c r="B103" s="43">
        <v>2337.6999999999998</v>
      </c>
      <c r="C103" s="43">
        <v>77414.92</v>
      </c>
      <c r="E103" s="45">
        <f t="shared" si="2"/>
        <v>-2.1383970575656491E-4</v>
      </c>
      <c r="F103" s="45">
        <f t="shared" si="3"/>
        <v>-2.4677078948225654E-3</v>
      </c>
    </row>
    <row r="104" spans="1:6" x14ac:dyDescent="0.2">
      <c r="A104" s="42">
        <v>45748</v>
      </c>
      <c r="B104" s="43">
        <v>2315.4</v>
      </c>
      <c r="C104" s="43">
        <v>76024.509999999995</v>
      </c>
      <c r="E104" s="45">
        <f t="shared" si="2"/>
        <v>-9.53929075587104E-3</v>
      </c>
      <c r="F104" s="45">
        <f t="shared" si="3"/>
        <v>-1.7960491336812122E-2</v>
      </c>
    </row>
    <row r="105" spans="1:6" x14ac:dyDescent="0.2">
      <c r="A105" s="42">
        <v>45749</v>
      </c>
      <c r="B105" s="43">
        <v>2306.65</v>
      </c>
      <c r="C105" s="43">
        <v>76617.440000000002</v>
      </c>
      <c r="E105" s="45">
        <f t="shared" si="2"/>
        <v>-3.7790446575105812E-3</v>
      </c>
      <c r="F105" s="45">
        <f t="shared" si="3"/>
        <v>7.7991952858362072E-3</v>
      </c>
    </row>
    <row r="106" spans="1:6" x14ac:dyDescent="0.2">
      <c r="A106" s="42">
        <v>45750</v>
      </c>
      <c r="B106" s="43">
        <v>2348.6999999999998</v>
      </c>
      <c r="C106" s="43">
        <v>76295.360000000001</v>
      </c>
      <c r="E106" s="45">
        <f t="shared" si="2"/>
        <v>1.8229900505061333E-2</v>
      </c>
      <c r="F106" s="45">
        <f t="shared" si="3"/>
        <v>-4.2037426465828375E-3</v>
      </c>
    </row>
    <row r="107" spans="1:6" x14ac:dyDescent="0.2">
      <c r="A107" s="42">
        <v>45751</v>
      </c>
      <c r="B107" s="43">
        <v>2355.0500000000002</v>
      </c>
      <c r="C107" s="43">
        <v>75364.69</v>
      </c>
      <c r="E107" s="45">
        <f t="shared" si="2"/>
        <v>2.7036232809640928E-3</v>
      </c>
      <c r="F107" s="45">
        <f t="shared" si="3"/>
        <v>-1.2198251636796763E-2</v>
      </c>
    </row>
    <row r="108" spans="1:6" x14ac:dyDescent="0.2">
      <c r="A108" s="42">
        <v>45754</v>
      </c>
      <c r="B108" s="43">
        <v>2338.9499999999998</v>
      </c>
      <c r="C108" s="43">
        <v>73137.899999999994</v>
      </c>
      <c r="E108" s="45">
        <f t="shared" si="2"/>
        <v>-6.8363729007878231E-3</v>
      </c>
      <c r="F108" s="45">
        <f t="shared" si="3"/>
        <v>-2.9546860738099076E-2</v>
      </c>
    </row>
    <row r="109" spans="1:6" x14ac:dyDescent="0.2">
      <c r="A109" s="42">
        <v>45755</v>
      </c>
      <c r="B109" s="43">
        <v>2394.15</v>
      </c>
      <c r="C109" s="43">
        <v>74227.08</v>
      </c>
      <c r="E109" s="45">
        <f t="shared" si="2"/>
        <v>2.3600333482973246E-2</v>
      </c>
      <c r="F109" s="45">
        <f t="shared" si="3"/>
        <v>1.4892142104162242E-2</v>
      </c>
    </row>
    <row r="110" spans="1:6" x14ac:dyDescent="0.2">
      <c r="A110" s="42">
        <v>45756</v>
      </c>
      <c r="B110" s="43">
        <v>2409.6999999999998</v>
      </c>
      <c r="C110" s="43">
        <v>73847.149999999994</v>
      </c>
      <c r="E110" s="45">
        <f t="shared" si="2"/>
        <v>6.4949982248395993E-3</v>
      </c>
      <c r="F110" s="45">
        <f t="shared" si="3"/>
        <v>-5.1184823651962003E-3</v>
      </c>
    </row>
    <row r="111" spans="1:6" x14ac:dyDescent="0.2">
      <c r="A111" s="42">
        <v>45758</v>
      </c>
      <c r="B111" s="43">
        <v>2394.1999999999998</v>
      </c>
      <c r="C111" s="43">
        <v>75157.259999999995</v>
      </c>
      <c r="E111" s="45">
        <f t="shared" si="2"/>
        <v>-6.432335975432627E-3</v>
      </c>
      <c r="F111" s="45">
        <f t="shared" si="3"/>
        <v>1.7740833600213422E-2</v>
      </c>
    </row>
    <row r="112" spans="1:6" x14ac:dyDescent="0.2">
      <c r="A112" s="42">
        <v>45762</v>
      </c>
      <c r="B112" s="43">
        <v>2417.0500000000002</v>
      </c>
      <c r="C112" s="43">
        <v>76734.89</v>
      </c>
      <c r="E112" s="45">
        <f t="shared" si="2"/>
        <v>9.5438977529030012E-3</v>
      </c>
      <c r="F112" s="45">
        <f t="shared" si="3"/>
        <v>2.099105262751735E-2</v>
      </c>
    </row>
    <row r="113" spans="1:6" x14ac:dyDescent="0.2">
      <c r="A113" s="42">
        <v>45763</v>
      </c>
      <c r="B113" s="43">
        <v>2459.35</v>
      </c>
      <c r="C113" s="43">
        <v>77044.289999999994</v>
      </c>
      <c r="E113" s="45">
        <f t="shared" si="2"/>
        <v>1.7500672307151164E-2</v>
      </c>
      <c r="F113" s="45">
        <f t="shared" si="3"/>
        <v>4.0320641627295505E-3</v>
      </c>
    </row>
    <row r="114" spans="1:6" x14ac:dyDescent="0.2">
      <c r="A114" s="42">
        <v>45764</v>
      </c>
      <c r="B114" s="43">
        <v>2469.65</v>
      </c>
      <c r="C114" s="43">
        <v>78553.2</v>
      </c>
      <c r="E114" s="45">
        <f t="shared" si="2"/>
        <v>4.1880984813061099E-3</v>
      </c>
      <c r="F114" s="45">
        <f t="shared" si="3"/>
        <v>1.9584968594038618E-2</v>
      </c>
    </row>
    <row r="115" spans="1:6" x14ac:dyDescent="0.2">
      <c r="A115" s="42">
        <v>45768</v>
      </c>
      <c r="B115" s="43">
        <v>2445.25</v>
      </c>
      <c r="C115" s="43">
        <v>79408.5</v>
      </c>
      <c r="E115" s="45">
        <f t="shared" si="2"/>
        <v>-9.8799425019739998E-3</v>
      </c>
      <c r="F115" s="45">
        <f t="shared" si="3"/>
        <v>1.0888162417317219E-2</v>
      </c>
    </row>
    <row r="116" spans="1:6" x14ac:dyDescent="0.2">
      <c r="A116" s="42">
        <v>45769</v>
      </c>
      <c r="B116" s="43">
        <v>2433.8000000000002</v>
      </c>
      <c r="C116" s="43">
        <v>79595.59</v>
      </c>
      <c r="E116" s="45">
        <f t="shared" si="2"/>
        <v>-4.6825477967487247E-3</v>
      </c>
      <c r="F116" s="45">
        <f t="shared" si="3"/>
        <v>2.3560450077762017E-3</v>
      </c>
    </row>
    <row r="117" spans="1:6" x14ac:dyDescent="0.2">
      <c r="A117" s="42">
        <v>45770</v>
      </c>
      <c r="B117" s="43">
        <v>2453</v>
      </c>
      <c r="C117" s="43">
        <v>80116.490000000005</v>
      </c>
      <c r="E117" s="45">
        <f t="shared" si="2"/>
        <v>7.8888980195578173E-3</v>
      </c>
      <c r="F117" s="45">
        <f t="shared" si="3"/>
        <v>6.5443324184167586E-3</v>
      </c>
    </row>
    <row r="118" spans="1:6" x14ac:dyDescent="0.2">
      <c r="A118" s="42">
        <v>45771</v>
      </c>
      <c r="B118" s="43">
        <v>2464.6</v>
      </c>
      <c r="C118" s="43">
        <v>79801.429999999993</v>
      </c>
      <c r="E118" s="45">
        <f t="shared" si="2"/>
        <v>4.7289033836118667E-3</v>
      </c>
      <c r="F118" s="45">
        <f t="shared" si="3"/>
        <v>-3.9325237538490789E-3</v>
      </c>
    </row>
    <row r="119" spans="1:6" x14ac:dyDescent="0.2">
      <c r="A119" s="42">
        <v>45772</v>
      </c>
      <c r="B119" s="43">
        <v>2430.1999999999998</v>
      </c>
      <c r="C119" s="43">
        <v>79212.53</v>
      </c>
      <c r="E119" s="45">
        <f t="shared" si="2"/>
        <v>-1.3957640185019918E-2</v>
      </c>
      <c r="F119" s="45">
        <f t="shared" si="3"/>
        <v>-7.3795670077590617E-3</v>
      </c>
    </row>
    <row r="120" spans="1:6" x14ac:dyDescent="0.2">
      <c r="A120" s="42">
        <v>45775</v>
      </c>
      <c r="B120" s="43">
        <v>2452.5500000000002</v>
      </c>
      <c r="C120" s="43">
        <v>80218.37</v>
      </c>
      <c r="E120" s="45">
        <f t="shared" si="2"/>
        <v>9.1967739280719146E-3</v>
      </c>
      <c r="F120" s="45">
        <f t="shared" si="3"/>
        <v>1.2697991088026056E-2</v>
      </c>
    </row>
    <row r="121" spans="1:6" x14ac:dyDescent="0.2">
      <c r="A121" s="42">
        <v>45776</v>
      </c>
      <c r="B121" s="43">
        <v>2452</v>
      </c>
      <c r="C121" s="43">
        <v>80288.38</v>
      </c>
      <c r="E121" s="45">
        <f t="shared" si="2"/>
        <v>-2.2425638621034511E-4</v>
      </c>
      <c r="F121" s="45">
        <f t="shared" si="3"/>
        <v>8.7274273959953713E-4</v>
      </c>
    </row>
    <row r="122" spans="1:6" x14ac:dyDescent="0.2">
      <c r="A122" s="42">
        <v>45777</v>
      </c>
      <c r="B122" s="43">
        <v>2423.3000000000002</v>
      </c>
      <c r="C122" s="43">
        <v>80242.240000000005</v>
      </c>
      <c r="E122" s="45">
        <f t="shared" si="2"/>
        <v>-1.1704730831973825E-2</v>
      </c>
      <c r="F122" s="45">
        <f t="shared" si="3"/>
        <v>-5.7467842793688722E-4</v>
      </c>
    </row>
    <row r="123" spans="1:6" x14ac:dyDescent="0.2">
      <c r="A123" s="42">
        <v>45779</v>
      </c>
      <c r="B123" s="43">
        <v>2409.4499999999998</v>
      </c>
      <c r="C123" s="43">
        <v>80501.990000000005</v>
      </c>
      <c r="E123" s="45">
        <f t="shared" si="2"/>
        <v>-5.7153468410846217E-3</v>
      </c>
      <c r="F123" s="45">
        <f t="shared" si="3"/>
        <v>3.2370731425244359E-3</v>
      </c>
    </row>
    <row r="124" spans="1:6" x14ac:dyDescent="0.2">
      <c r="A124" s="42">
        <v>45782</v>
      </c>
      <c r="B124" s="43">
        <v>2437.3000000000002</v>
      </c>
      <c r="C124" s="43">
        <v>80796.84</v>
      </c>
      <c r="E124" s="45">
        <f t="shared" si="2"/>
        <v>1.1558654464712015E-2</v>
      </c>
      <c r="F124" s="45">
        <f t="shared" si="3"/>
        <v>3.6626423769150459E-3</v>
      </c>
    </row>
    <row r="125" spans="1:6" x14ac:dyDescent="0.2">
      <c r="A125" s="42">
        <v>45783</v>
      </c>
      <c r="B125" s="43">
        <v>2417.9499999999998</v>
      </c>
      <c r="C125" s="43">
        <v>80641.070000000007</v>
      </c>
      <c r="E125" s="45">
        <f t="shared" si="2"/>
        <v>-7.9391129528578186E-3</v>
      </c>
      <c r="F125" s="45">
        <f t="shared" si="3"/>
        <v>-1.9279219335804412E-3</v>
      </c>
    </row>
    <row r="126" spans="1:6" x14ac:dyDescent="0.2">
      <c r="A126" s="42">
        <v>45784</v>
      </c>
      <c r="B126" s="43">
        <v>2332.65</v>
      </c>
      <c r="C126" s="43">
        <v>80746.78</v>
      </c>
      <c r="E126" s="45">
        <f t="shared" si="2"/>
        <v>-3.5277817986310606E-2</v>
      </c>
      <c r="F126" s="45">
        <f t="shared" si="3"/>
        <v>1.3108705030822612E-3</v>
      </c>
    </row>
    <row r="127" spans="1:6" x14ac:dyDescent="0.2">
      <c r="A127" s="42">
        <v>45785</v>
      </c>
      <c r="B127" s="43">
        <v>2302.5</v>
      </c>
      <c r="C127" s="43">
        <v>80334.81</v>
      </c>
      <c r="E127" s="45">
        <f t="shared" si="2"/>
        <v>-1.292521381261659E-2</v>
      </c>
      <c r="F127" s="45">
        <f t="shared" si="3"/>
        <v>-5.101999113772725E-3</v>
      </c>
    </row>
    <row r="128" spans="1:6" x14ac:dyDescent="0.2">
      <c r="A128" s="42">
        <v>45786</v>
      </c>
      <c r="B128" s="43">
        <v>2300.35</v>
      </c>
      <c r="C128" s="43">
        <v>79454.47</v>
      </c>
      <c r="E128" s="45">
        <f t="shared" si="2"/>
        <v>-9.3376764386540322E-4</v>
      </c>
      <c r="F128" s="45">
        <f t="shared" si="3"/>
        <v>-1.0958387777353262E-2</v>
      </c>
    </row>
    <row r="129" spans="1:6" x14ac:dyDescent="0.2">
      <c r="A129" s="42">
        <v>45789</v>
      </c>
      <c r="B129" s="43">
        <v>2354.1</v>
      </c>
      <c r="C129" s="43">
        <v>82429.899999999994</v>
      </c>
      <c r="E129" s="45">
        <f t="shared" si="2"/>
        <v>2.3366009520290391E-2</v>
      </c>
      <c r="F129" s="45">
        <f t="shared" si="3"/>
        <v>3.7448239224300316E-2</v>
      </c>
    </row>
    <row r="130" spans="1:6" x14ac:dyDescent="0.2">
      <c r="A130" s="42">
        <v>45790</v>
      </c>
      <c r="B130" s="43">
        <v>2325.1</v>
      </c>
      <c r="C130" s="43">
        <v>81148.22</v>
      </c>
      <c r="E130" s="45">
        <f t="shared" si="2"/>
        <v>-1.2318932925534175E-2</v>
      </c>
      <c r="F130" s="45">
        <f t="shared" si="3"/>
        <v>-1.5548726857608624E-2</v>
      </c>
    </row>
    <row r="131" spans="1:6" x14ac:dyDescent="0.2">
      <c r="A131" s="42">
        <v>45791</v>
      </c>
      <c r="B131" s="43">
        <v>2283.65</v>
      </c>
      <c r="C131" s="43">
        <v>81330.559999999998</v>
      </c>
      <c r="E131" s="45">
        <f t="shared" si="2"/>
        <v>-1.7827190228377195E-2</v>
      </c>
      <c r="F131" s="45">
        <f t="shared" si="3"/>
        <v>2.2469993796536327E-3</v>
      </c>
    </row>
    <row r="132" spans="1:6" x14ac:dyDescent="0.2">
      <c r="A132" s="42">
        <v>45792</v>
      </c>
      <c r="B132" s="43">
        <v>2330.25</v>
      </c>
      <c r="C132" s="43">
        <v>82530.740000000005</v>
      </c>
      <c r="E132" s="45">
        <f t="shared" si="2"/>
        <v>2.0405929104722661E-2</v>
      </c>
      <c r="F132" s="45">
        <f t="shared" si="3"/>
        <v>1.4756814658598289E-2</v>
      </c>
    </row>
    <row r="133" spans="1:6" x14ac:dyDescent="0.2">
      <c r="A133" s="42">
        <v>45793</v>
      </c>
      <c r="B133" s="43">
        <v>2353.15</v>
      </c>
      <c r="C133" s="43">
        <v>82330.59</v>
      </c>
      <c r="E133" s="45">
        <f t="shared" ref="E133:E196" si="4">(B133-B132)/B132</f>
        <v>9.827271751957984E-3</v>
      </c>
      <c r="F133" s="45">
        <f t="shared" ref="F133:F196" si="5">(C133-C132)/C132</f>
        <v>-2.4251569778728351E-3</v>
      </c>
    </row>
    <row r="134" spans="1:6" x14ac:dyDescent="0.2">
      <c r="A134" s="42">
        <v>45796</v>
      </c>
      <c r="B134" s="43">
        <v>2329.4</v>
      </c>
      <c r="C134" s="43">
        <v>82059.42</v>
      </c>
      <c r="E134" s="45">
        <f t="shared" si="4"/>
        <v>-1.0092854259184497E-2</v>
      </c>
      <c r="F134" s="45">
        <f t="shared" si="5"/>
        <v>-3.2936724976706504E-3</v>
      </c>
    </row>
    <row r="135" spans="1:6" x14ac:dyDescent="0.2">
      <c r="A135" s="42">
        <v>45797</v>
      </c>
      <c r="B135" s="43">
        <v>2295.75</v>
      </c>
      <c r="C135" s="43">
        <v>81186.44</v>
      </c>
      <c r="E135" s="45">
        <f t="shared" si="4"/>
        <v>-1.4445780029192105E-2</v>
      </c>
      <c r="F135" s="45">
        <f t="shared" si="5"/>
        <v>-1.0638388621318502E-2</v>
      </c>
    </row>
    <row r="136" spans="1:6" x14ac:dyDescent="0.2">
      <c r="A136" s="42">
        <v>45798</v>
      </c>
      <c r="B136" s="43">
        <v>2311.65</v>
      </c>
      <c r="C136" s="43">
        <v>81596.63</v>
      </c>
      <c r="E136" s="45">
        <f t="shared" si="4"/>
        <v>6.925841228356786E-3</v>
      </c>
      <c r="F136" s="45">
        <f t="shared" si="5"/>
        <v>5.0524447186008192E-3</v>
      </c>
    </row>
    <row r="137" spans="1:6" x14ac:dyDescent="0.2">
      <c r="A137" s="42">
        <v>45799</v>
      </c>
      <c r="B137" s="43">
        <v>2298.85</v>
      </c>
      <c r="C137" s="43">
        <v>80951.990000000005</v>
      </c>
      <c r="E137" s="45">
        <f t="shared" si="4"/>
        <v>-5.5371704193974787E-3</v>
      </c>
      <c r="F137" s="45">
        <f t="shared" si="5"/>
        <v>-7.9003262757297629E-3</v>
      </c>
    </row>
    <row r="138" spans="1:6" x14ac:dyDescent="0.2">
      <c r="A138" s="42">
        <v>45800</v>
      </c>
      <c r="B138" s="43">
        <v>2314.6</v>
      </c>
      <c r="C138" s="43">
        <v>81721.08</v>
      </c>
      <c r="E138" s="45">
        <f t="shared" si="4"/>
        <v>6.8512517128129285E-3</v>
      </c>
      <c r="F138" s="45">
        <f t="shared" si="5"/>
        <v>9.5005694115734094E-3</v>
      </c>
    </row>
    <row r="139" spans="1:6" x14ac:dyDescent="0.2">
      <c r="A139" s="42">
        <v>45803</v>
      </c>
      <c r="B139" s="43">
        <v>2327.4499999999998</v>
      </c>
      <c r="C139" s="43">
        <v>82176.45</v>
      </c>
      <c r="E139" s="45">
        <f t="shared" si="4"/>
        <v>5.5517151991704436E-3</v>
      </c>
      <c r="F139" s="45">
        <f t="shared" si="5"/>
        <v>5.5722464754503409E-3</v>
      </c>
    </row>
    <row r="140" spans="1:6" x14ac:dyDescent="0.2">
      <c r="A140" s="42">
        <v>45804</v>
      </c>
      <c r="B140" s="43">
        <v>2328.85</v>
      </c>
      <c r="C140" s="43">
        <v>81551.63</v>
      </c>
      <c r="E140" s="45">
        <f t="shared" si="4"/>
        <v>6.0151668134657721E-4</v>
      </c>
      <c r="F140" s="45">
        <f t="shared" si="5"/>
        <v>-7.6033948898984131E-3</v>
      </c>
    </row>
    <row r="141" spans="1:6" x14ac:dyDescent="0.2">
      <c r="A141" s="42">
        <v>45805</v>
      </c>
      <c r="B141" s="43">
        <v>2302.8000000000002</v>
      </c>
      <c r="C141" s="43">
        <v>81312.320000000007</v>
      </c>
      <c r="E141" s="45">
        <f t="shared" si="4"/>
        <v>-1.1185778388474881E-2</v>
      </c>
      <c r="F141" s="45">
        <f t="shared" si="5"/>
        <v>-2.9344600469665373E-3</v>
      </c>
    </row>
    <row r="142" spans="1:6" x14ac:dyDescent="0.2">
      <c r="A142" s="42">
        <v>45806</v>
      </c>
      <c r="B142" s="43">
        <v>2297.25</v>
      </c>
      <c r="C142" s="43">
        <v>81633.02</v>
      </c>
      <c r="E142" s="45">
        <f t="shared" si="4"/>
        <v>-2.4101094319959101E-3</v>
      </c>
      <c r="F142" s="45">
        <f t="shared" si="5"/>
        <v>3.9440517746879818E-3</v>
      </c>
    </row>
    <row r="143" spans="1:6" x14ac:dyDescent="0.2">
      <c r="A143" s="42">
        <v>45807</v>
      </c>
      <c r="B143" s="43">
        <v>2260.0500000000002</v>
      </c>
      <c r="C143" s="43">
        <v>81451.009999999995</v>
      </c>
      <c r="E143" s="45">
        <f t="shared" si="4"/>
        <v>-1.6193274567417485E-2</v>
      </c>
      <c r="F143" s="45">
        <f t="shared" si="5"/>
        <v>-2.229612477892026E-3</v>
      </c>
    </row>
    <row r="144" spans="1:6" x14ac:dyDescent="0.2">
      <c r="A144" s="42">
        <v>45810</v>
      </c>
      <c r="B144" s="43">
        <v>2267.1999999999998</v>
      </c>
      <c r="C144" s="43">
        <v>81373.75</v>
      </c>
      <c r="E144" s="45">
        <f t="shared" si="4"/>
        <v>3.1636468219728041E-3</v>
      </c>
      <c r="F144" s="45">
        <f t="shared" si="5"/>
        <v>-9.4854563497732893E-4</v>
      </c>
    </row>
    <row r="145" spans="1:6" x14ac:dyDescent="0.2">
      <c r="A145" s="42">
        <v>45811</v>
      </c>
      <c r="B145" s="43">
        <v>2255.9</v>
      </c>
      <c r="C145" s="43">
        <v>80737.509999999995</v>
      </c>
      <c r="E145" s="45">
        <f t="shared" si="4"/>
        <v>-4.9841213832038317E-3</v>
      </c>
      <c r="F145" s="45">
        <f t="shared" si="5"/>
        <v>-7.8187376150171926E-3</v>
      </c>
    </row>
    <row r="146" spans="1:6" x14ac:dyDescent="0.2">
      <c r="A146" s="42">
        <v>45812</v>
      </c>
      <c r="B146" s="43">
        <v>2249.1</v>
      </c>
      <c r="C146" s="43">
        <v>80998.25</v>
      </c>
      <c r="E146" s="45">
        <f t="shared" si="4"/>
        <v>-3.0143180105501937E-3</v>
      </c>
      <c r="F146" s="45">
        <f t="shared" si="5"/>
        <v>3.2294778474095281E-3</v>
      </c>
    </row>
    <row r="147" spans="1:6" x14ac:dyDescent="0.2">
      <c r="A147" s="42">
        <v>45813</v>
      </c>
      <c r="B147" s="43">
        <v>2243.4499999999998</v>
      </c>
      <c r="C147" s="43">
        <v>81442.039999999994</v>
      </c>
      <c r="E147" s="45">
        <f t="shared" si="4"/>
        <v>-2.5121159574941492E-3</v>
      </c>
      <c r="F147" s="45">
        <f t="shared" si="5"/>
        <v>5.479007262502506E-3</v>
      </c>
    </row>
    <row r="148" spans="1:6" x14ac:dyDescent="0.2">
      <c r="A148" s="42">
        <v>45814</v>
      </c>
      <c r="B148" s="43">
        <v>2245.4499999999998</v>
      </c>
      <c r="C148" s="43">
        <v>82188.990000000005</v>
      </c>
      <c r="E148" s="45">
        <f t="shared" si="4"/>
        <v>8.914840981523993E-4</v>
      </c>
      <c r="F148" s="45">
        <f t="shared" si="5"/>
        <v>9.1715531683638045E-3</v>
      </c>
    </row>
    <row r="149" spans="1:6" x14ac:dyDescent="0.2">
      <c r="A149" s="42">
        <v>45817</v>
      </c>
      <c r="B149" s="43">
        <v>2248.3000000000002</v>
      </c>
      <c r="C149" s="43">
        <v>82445.210000000006</v>
      </c>
      <c r="E149" s="45">
        <f t="shared" si="4"/>
        <v>1.2692333385291876E-3</v>
      </c>
      <c r="F149" s="45">
        <f t="shared" si="5"/>
        <v>3.1174491863204686E-3</v>
      </c>
    </row>
    <row r="150" spans="1:6" x14ac:dyDescent="0.2">
      <c r="A150" s="42">
        <v>45818</v>
      </c>
      <c r="B150" s="43">
        <v>2219.6999999999998</v>
      </c>
      <c r="C150" s="43">
        <v>82391.72</v>
      </c>
      <c r="E150" s="45">
        <f t="shared" si="4"/>
        <v>-1.2720722323533497E-2</v>
      </c>
      <c r="F150" s="45">
        <f t="shared" si="5"/>
        <v>-6.4879451456312904E-4</v>
      </c>
    </row>
    <row r="151" spans="1:6" x14ac:dyDescent="0.2">
      <c r="A151" s="42">
        <v>45819</v>
      </c>
      <c r="B151" s="43">
        <v>2208.4499999999998</v>
      </c>
      <c r="C151" s="43">
        <v>82515.14</v>
      </c>
      <c r="E151" s="45">
        <f t="shared" si="4"/>
        <v>-5.0682524665495339E-3</v>
      </c>
      <c r="F151" s="45">
        <f t="shared" si="5"/>
        <v>1.4979660577543259E-3</v>
      </c>
    </row>
    <row r="152" spans="1:6" x14ac:dyDescent="0.2">
      <c r="A152" s="42">
        <v>45820</v>
      </c>
      <c r="B152" s="43">
        <v>2218.0500000000002</v>
      </c>
      <c r="C152" s="43">
        <v>81691.98</v>
      </c>
      <c r="E152" s="45">
        <f t="shared" si="4"/>
        <v>4.3469401616520022E-3</v>
      </c>
      <c r="F152" s="45">
        <f t="shared" si="5"/>
        <v>-9.9758662470911825E-3</v>
      </c>
    </row>
    <row r="153" spans="1:6" x14ac:dyDescent="0.2">
      <c r="A153" s="42">
        <v>45821</v>
      </c>
      <c r="B153" s="43">
        <v>2215.3000000000002</v>
      </c>
      <c r="C153" s="43">
        <v>81118.600000000006</v>
      </c>
      <c r="E153" s="45">
        <f t="shared" si="4"/>
        <v>-1.2398277766506615E-3</v>
      </c>
      <c r="F153" s="45">
        <f t="shared" si="5"/>
        <v>-7.0188040490632023E-3</v>
      </c>
    </row>
    <row r="154" spans="1:6" x14ac:dyDescent="0.2">
      <c r="A154" s="42">
        <v>45824</v>
      </c>
      <c r="B154" s="43">
        <v>2243.65</v>
      </c>
      <c r="C154" s="43">
        <v>81796.149999999994</v>
      </c>
      <c r="E154" s="45">
        <f t="shared" si="4"/>
        <v>1.2797363788200202E-2</v>
      </c>
      <c r="F154" s="45">
        <f t="shared" si="5"/>
        <v>8.3525849805098744E-3</v>
      </c>
    </row>
    <row r="155" spans="1:6" x14ac:dyDescent="0.2">
      <c r="A155" s="42">
        <v>45825</v>
      </c>
      <c r="B155" s="43">
        <v>2264.5</v>
      </c>
      <c r="C155" s="43">
        <v>81583.3</v>
      </c>
      <c r="E155" s="45">
        <f t="shared" si="4"/>
        <v>9.292893276580531E-3</v>
      </c>
      <c r="F155" s="45">
        <f t="shared" si="5"/>
        <v>-2.6022007148257136E-3</v>
      </c>
    </row>
    <row r="156" spans="1:6" x14ac:dyDescent="0.2">
      <c r="A156" s="42">
        <v>45826</v>
      </c>
      <c r="B156" s="43">
        <v>2281.15</v>
      </c>
      <c r="C156" s="43">
        <v>81444.66</v>
      </c>
      <c r="E156" s="45">
        <f t="shared" si="4"/>
        <v>7.3526164716273311E-3</v>
      </c>
      <c r="F156" s="45">
        <f t="shared" si="5"/>
        <v>-1.6993673950428509E-3</v>
      </c>
    </row>
    <row r="157" spans="1:6" x14ac:dyDescent="0.2">
      <c r="A157" s="42">
        <v>45827</v>
      </c>
      <c r="B157" s="43">
        <v>2268.3000000000002</v>
      </c>
      <c r="C157" s="43">
        <v>81361.87</v>
      </c>
      <c r="E157" s="45">
        <f t="shared" si="4"/>
        <v>-5.6331236437761256E-3</v>
      </c>
      <c r="F157" s="45">
        <f t="shared" si="5"/>
        <v>-1.0165184555992763E-3</v>
      </c>
    </row>
    <row r="158" spans="1:6" x14ac:dyDescent="0.2">
      <c r="A158" s="42">
        <v>45828</v>
      </c>
      <c r="B158" s="43">
        <v>2284.9499999999998</v>
      </c>
      <c r="C158" s="43">
        <v>82408.17</v>
      </c>
      <c r="E158" s="45">
        <f t="shared" si="4"/>
        <v>7.3402989022614447E-3</v>
      </c>
      <c r="F158" s="45">
        <f t="shared" si="5"/>
        <v>1.2859832253118113E-2</v>
      </c>
    </row>
    <row r="159" spans="1:6" x14ac:dyDescent="0.2">
      <c r="A159" s="42">
        <v>45831</v>
      </c>
      <c r="B159" s="43">
        <v>2264.35</v>
      </c>
      <c r="C159" s="43">
        <v>81896.789999999994</v>
      </c>
      <c r="E159" s="45">
        <f t="shared" si="4"/>
        <v>-9.0155145626818582E-3</v>
      </c>
      <c r="F159" s="45">
        <f t="shared" si="5"/>
        <v>-6.2054526875187817E-3</v>
      </c>
    </row>
    <row r="160" spans="1:6" x14ac:dyDescent="0.2">
      <c r="A160" s="42">
        <v>45832</v>
      </c>
      <c r="B160" s="43">
        <v>2275.15</v>
      </c>
      <c r="C160" s="43">
        <v>82055.11</v>
      </c>
      <c r="E160" s="45">
        <f t="shared" si="4"/>
        <v>4.7695806743657922E-3</v>
      </c>
      <c r="F160" s="45">
        <f t="shared" si="5"/>
        <v>1.9331649018234658E-3</v>
      </c>
    </row>
    <row r="161" spans="1:6" x14ac:dyDescent="0.2">
      <c r="A161" s="42">
        <v>45833</v>
      </c>
      <c r="B161" s="43">
        <v>2279.4499999999998</v>
      </c>
      <c r="C161" s="43">
        <v>82755.509999999995</v>
      </c>
      <c r="E161" s="45">
        <f t="shared" si="4"/>
        <v>1.889985275695988E-3</v>
      </c>
      <c r="F161" s="45">
        <f t="shared" si="5"/>
        <v>8.5357267816714173E-3</v>
      </c>
    </row>
    <row r="162" spans="1:6" x14ac:dyDescent="0.2">
      <c r="A162" s="42">
        <v>45834</v>
      </c>
      <c r="B162" s="43">
        <v>2289.1999999999998</v>
      </c>
      <c r="C162" s="43">
        <v>83755.87</v>
      </c>
      <c r="E162" s="45">
        <f t="shared" si="4"/>
        <v>4.2773476057820971E-3</v>
      </c>
      <c r="F162" s="45">
        <f t="shared" si="5"/>
        <v>1.2088137696208997E-2</v>
      </c>
    </row>
    <row r="163" spans="1:6" x14ac:dyDescent="0.2">
      <c r="A163" s="42">
        <v>45835</v>
      </c>
      <c r="B163" s="43">
        <v>2359.25</v>
      </c>
      <c r="C163" s="43">
        <v>84058.9</v>
      </c>
      <c r="E163" s="45">
        <f t="shared" si="4"/>
        <v>3.060020968023772E-2</v>
      </c>
      <c r="F163" s="45">
        <f t="shared" si="5"/>
        <v>3.6180150716600382E-3</v>
      </c>
    </row>
    <row r="164" spans="1:6" x14ac:dyDescent="0.2">
      <c r="A164" s="42">
        <v>45838</v>
      </c>
      <c r="B164" s="43">
        <v>2341.35</v>
      </c>
      <c r="C164" s="43">
        <v>83606.460000000006</v>
      </c>
      <c r="E164" s="45">
        <f t="shared" si="4"/>
        <v>-7.587156935466818E-3</v>
      </c>
      <c r="F164" s="45">
        <f t="shared" si="5"/>
        <v>-5.3824163770878255E-3</v>
      </c>
    </row>
    <row r="165" spans="1:6" x14ac:dyDescent="0.2">
      <c r="A165" s="42">
        <v>45839</v>
      </c>
      <c r="B165" s="43">
        <v>2368.85</v>
      </c>
      <c r="C165" s="43">
        <v>83697.289999999994</v>
      </c>
      <c r="E165" s="45">
        <f t="shared" si="4"/>
        <v>1.1745360582569885E-2</v>
      </c>
      <c r="F165" s="45">
        <f t="shared" si="5"/>
        <v>1.0863993045511936E-3</v>
      </c>
    </row>
    <row r="166" spans="1:6" x14ac:dyDescent="0.2">
      <c r="A166" s="42">
        <v>45840</v>
      </c>
      <c r="B166" s="43">
        <v>2419.85</v>
      </c>
      <c r="C166" s="43">
        <v>83409.69</v>
      </c>
      <c r="E166" s="45">
        <f t="shared" si="4"/>
        <v>2.1529434113599425E-2</v>
      </c>
      <c r="F166" s="45">
        <f t="shared" si="5"/>
        <v>-3.4361924979887794E-3</v>
      </c>
    </row>
    <row r="167" spans="1:6" x14ac:dyDescent="0.2">
      <c r="A167" s="42">
        <v>45841</v>
      </c>
      <c r="B167" s="43">
        <v>2430.4</v>
      </c>
      <c r="C167" s="43">
        <v>83239.47</v>
      </c>
      <c r="E167" s="45">
        <f t="shared" si="4"/>
        <v>4.3597743661797968E-3</v>
      </c>
      <c r="F167" s="45">
        <f t="shared" si="5"/>
        <v>-2.0407700831881902E-3</v>
      </c>
    </row>
    <row r="168" spans="1:6" x14ac:dyDescent="0.2">
      <c r="A168" s="42">
        <v>45842</v>
      </c>
      <c r="B168" s="43">
        <v>2424.8000000000002</v>
      </c>
      <c r="C168" s="43">
        <v>83432.89</v>
      </c>
      <c r="E168" s="45">
        <f t="shared" si="4"/>
        <v>-2.3041474654377507E-3</v>
      </c>
      <c r="F168" s="45">
        <f t="shared" si="5"/>
        <v>2.3236572746078064E-3</v>
      </c>
    </row>
    <row r="169" spans="1:6" x14ac:dyDescent="0.2">
      <c r="A169" s="42">
        <v>45845</v>
      </c>
      <c r="B169" s="43">
        <v>2443.4</v>
      </c>
      <c r="C169" s="43">
        <v>83442.5</v>
      </c>
      <c r="E169" s="45">
        <f t="shared" si="4"/>
        <v>7.6707357307818818E-3</v>
      </c>
      <c r="F169" s="45">
        <f t="shared" si="5"/>
        <v>1.1518239389766532E-4</v>
      </c>
    </row>
    <row r="170" spans="1:6" x14ac:dyDescent="0.2">
      <c r="A170" s="42">
        <v>45846</v>
      </c>
      <c r="B170" s="43">
        <v>2484.6</v>
      </c>
      <c r="C170" s="43">
        <v>83712.509999999995</v>
      </c>
      <c r="E170" s="45">
        <f t="shared" si="4"/>
        <v>1.6861750020463213E-2</v>
      </c>
      <c r="F170" s="45">
        <f t="shared" si="5"/>
        <v>3.2358809958953141E-3</v>
      </c>
    </row>
    <row r="171" spans="1:6" x14ac:dyDescent="0.2">
      <c r="A171" s="42">
        <v>45847</v>
      </c>
      <c r="B171" s="43">
        <v>2498.75</v>
      </c>
      <c r="C171" s="43">
        <v>83536.08</v>
      </c>
      <c r="E171" s="45">
        <f t="shared" si="4"/>
        <v>5.695081703292317E-3</v>
      </c>
      <c r="F171" s="45">
        <f t="shared" si="5"/>
        <v>-2.1075703022163956E-3</v>
      </c>
    </row>
    <row r="172" spans="1:6" x14ac:dyDescent="0.2">
      <c r="A172" s="42">
        <v>45848</v>
      </c>
      <c r="B172" s="43">
        <v>2450.8000000000002</v>
      </c>
      <c r="C172" s="43">
        <v>83190.28</v>
      </c>
      <c r="E172" s="45">
        <f t="shared" si="4"/>
        <v>-1.9189594797398627E-2</v>
      </c>
      <c r="F172" s="45">
        <f t="shared" si="5"/>
        <v>-4.1395286922728822E-3</v>
      </c>
    </row>
    <row r="173" spans="1:6" x14ac:dyDescent="0.2">
      <c r="A173" s="42">
        <v>45849</v>
      </c>
      <c r="B173" s="43">
        <v>2439.6</v>
      </c>
      <c r="C173" s="43">
        <v>82500.47</v>
      </c>
      <c r="E173" s="45">
        <f t="shared" si="4"/>
        <v>-4.569936347315273E-3</v>
      </c>
      <c r="F173" s="45">
        <f t="shared" si="5"/>
        <v>-8.291954300430263E-3</v>
      </c>
    </row>
    <row r="174" spans="1:6" x14ac:dyDescent="0.2">
      <c r="A174" s="42">
        <v>45852</v>
      </c>
      <c r="B174" s="43">
        <v>2401</v>
      </c>
      <c r="C174" s="43">
        <v>82253.460000000006</v>
      </c>
      <c r="E174" s="45">
        <f t="shared" si="4"/>
        <v>-1.5822265945236887E-2</v>
      </c>
      <c r="F174" s="45">
        <f t="shared" si="5"/>
        <v>-2.9940435490851719E-3</v>
      </c>
    </row>
    <row r="175" spans="1:6" x14ac:dyDescent="0.2">
      <c r="A175" s="42">
        <v>45853</v>
      </c>
      <c r="B175" s="43">
        <v>2392.9499999999998</v>
      </c>
      <c r="C175" s="43">
        <v>82570.91</v>
      </c>
      <c r="E175" s="45">
        <f t="shared" si="4"/>
        <v>-3.3527696793003675E-3</v>
      </c>
      <c r="F175" s="45">
        <f t="shared" si="5"/>
        <v>3.8594121147000632E-3</v>
      </c>
    </row>
    <row r="176" spans="1:6" x14ac:dyDescent="0.2">
      <c r="A176" s="42">
        <v>45854</v>
      </c>
      <c r="B176" s="43">
        <v>2410.4</v>
      </c>
      <c r="C176" s="43">
        <v>82634.48</v>
      </c>
      <c r="E176" s="45">
        <f t="shared" si="4"/>
        <v>7.2922543304290832E-3</v>
      </c>
      <c r="F176" s="45">
        <f t="shared" si="5"/>
        <v>7.6988372781639967E-4</v>
      </c>
    </row>
    <row r="177" spans="1:6" x14ac:dyDescent="0.2">
      <c r="A177" s="42">
        <v>45855</v>
      </c>
      <c r="B177" s="43">
        <v>2399.0500000000002</v>
      </c>
      <c r="C177" s="43">
        <v>82259.240000000005</v>
      </c>
      <c r="E177" s="45">
        <f t="shared" si="4"/>
        <v>-4.7087620311981031E-3</v>
      </c>
      <c r="F177" s="45">
        <f t="shared" si="5"/>
        <v>-4.5409615937559078E-3</v>
      </c>
    </row>
    <row r="178" spans="1:6" x14ac:dyDescent="0.2">
      <c r="A178" s="42">
        <v>45856</v>
      </c>
      <c r="B178" s="43">
        <v>2382.1</v>
      </c>
      <c r="C178" s="43">
        <v>81757.73</v>
      </c>
      <c r="E178" s="45">
        <f t="shared" si="4"/>
        <v>-7.0652966799359214E-3</v>
      </c>
      <c r="F178" s="45">
        <f t="shared" si="5"/>
        <v>-6.0967011122399052E-3</v>
      </c>
    </row>
    <row r="179" spans="1:6" x14ac:dyDescent="0.2">
      <c r="A179" s="42">
        <v>45859</v>
      </c>
      <c r="B179" s="43">
        <v>2376.1</v>
      </c>
      <c r="C179" s="43">
        <v>82200.34</v>
      </c>
      <c r="E179" s="45">
        <f t="shared" si="4"/>
        <v>-2.5187859451744261E-3</v>
      </c>
      <c r="F179" s="45">
        <f t="shared" si="5"/>
        <v>5.4136777036250961E-3</v>
      </c>
    </row>
    <row r="180" spans="1:6" x14ac:dyDescent="0.2">
      <c r="A180" s="42">
        <v>45860</v>
      </c>
      <c r="B180" s="43">
        <v>2365.15</v>
      </c>
      <c r="C180" s="43">
        <v>82186.81</v>
      </c>
      <c r="E180" s="45">
        <f t="shared" si="4"/>
        <v>-4.6083919026976214E-3</v>
      </c>
      <c r="F180" s="45">
        <f t="shared" si="5"/>
        <v>-1.64597859327575E-4</v>
      </c>
    </row>
    <row r="181" spans="1:6" x14ac:dyDescent="0.2">
      <c r="A181" s="42">
        <v>45861</v>
      </c>
      <c r="B181" s="43">
        <v>2374.35</v>
      </c>
      <c r="C181" s="43">
        <v>82726.64</v>
      </c>
      <c r="E181" s="45">
        <f t="shared" si="4"/>
        <v>3.8898167135276063E-3</v>
      </c>
      <c r="F181" s="45">
        <f t="shared" si="5"/>
        <v>6.5683289082518444E-3</v>
      </c>
    </row>
    <row r="182" spans="1:6" x14ac:dyDescent="0.2">
      <c r="A182" s="42">
        <v>45862</v>
      </c>
      <c r="B182" s="43">
        <v>2352.0500000000002</v>
      </c>
      <c r="C182" s="43">
        <v>82184.17</v>
      </c>
      <c r="E182" s="45">
        <f t="shared" si="4"/>
        <v>-9.3920441383956565E-3</v>
      </c>
      <c r="F182" s="45">
        <f t="shared" si="5"/>
        <v>-6.5573798234764662E-3</v>
      </c>
    </row>
    <row r="183" spans="1:6" x14ac:dyDescent="0.2">
      <c r="A183" s="42">
        <v>45863</v>
      </c>
      <c r="B183" s="43">
        <v>2335.65</v>
      </c>
      <c r="C183" s="43">
        <v>81463.09</v>
      </c>
      <c r="E183" s="45">
        <f t="shared" si="4"/>
        <v>-6.9726408877362686E-3</v>
      </c>
      <c r="F183" s="45">
        <f t="shared" si="5"/>
        <v>-8.7739524533739493E-3</v>
      </c>
    </row>
    <row r="184" spans="1:6" x14ac:dyDescent="0.2">
      <c r="A184" s="42">
        <v>45866</v>
      </c>
      <c r="B184" s="43">
        <v>2358.9499999999998</v>
      </c>
      <c r="C184" s="43">
        <v>80891.02</v>
      </c>
      <c r="E184" s="45">
        <f t="shared" si="4"/>
        <v>9.9758097317662001E-3</v>
      </c>
      <c r="F184" s="45">
        <f t="shared" si="5"/>
        <v>-7.0224441523147781E-3</v>
      </c>
    </row>
    <row r="185" spans="1:6" x14ac:dyDescent="0.2">
      <c r="A185" s="42">
        <v>45867</v>
      </c>
      <c r="B185" s="43">
        <v>2401.6999999999998</v>
      </c>
      <c r="C185" s="43">
        <v>81337.95</v>
      </c>
      <c r="E185" s="45">
        <f t="shared" si="4"/>
        <v>1.8122469742894085E-2</v>
      </c>
      <c r="F185" s="45">
        <f t="shared" si="5"/>
        <v>5.525087951666242E-3</v>
      </c>
    </row>
    <row r="186" spans="1:6" x14ac:dyDescent="0.2">
      <c r="A186" s="42">
        <v>45868</v>
      </c>
      <c r="B186" s="43">
        <v>2415.15</v>
      </c>
      <c r="C186" s="43">
        <v>81481.86</v>
      </c>
      <c r="E186" s="45">
        <f t="shared" si="4"/>
        <v>5.6001998584337236E-3</v>
      </c>
      <c r="F186" s="45">
        <f t="shared" si="5"/>
        <v>1.7692848172348025E-3</v>
      </c>
    </row>
    <row r="187" spans="1:6" x14ac:dyDescent="0.2">
      <c r="A187" s="42">
        <v>45869</v>
      </c>
      <c r="B187" s="43">
        <v>2396</v>
      </c>
      <c r="C187" s="43">
        <v>81185.58</v>
      </c>
      <c r="E187" s="45">
        <f t="shared" si="4"/>
        <v>-7.9291141336977379E-3</v>
      </c>
      <c r="F187" s="45">
        <f t="shared" si="5"/>
        <v>-3.6361467448091985E-3</v>
      </c>
    </row>
    <row r="188" spans="1:6" x14ac:dyDescent="0.2">
      <c r="A188" s="42">
        <v>45870</v>
      </c>
      <c r="B188" s="43">
        <v>2429.4499999999998</v>
      </c>
      <c r="C188" s="43">
        <v>80599.91</v>
      </c>
      <c r="E188" s="45">
        <f t="shared" si="4"/>
        <v>1.3960767946577553E-2</v>
      </c>
      <c r="F188" s="45">
        <f t="shared" si="5"/>
        <v>-7.2139658298924301E-3</v>
      </c>
    </row>
    <row r="189" spans="1:6" x14ac:dyDescent="0.2">
      <c r="A189" s="42">
        <v>45873</v>
      </c>
      <c r="B189" s="43">
        <v>2449.75</v>
      </c>
      <c r="C189" s="43">
        <v>81018.720000000001</v>
      </c>
      <c r="E189" s="45">
        <f t="shared" si="4"/>
        <v>8.3558006956307735E-3</v>
      </c>
      <c r="F189" s="45">
        <f t="shared" si="5"/>
        <v>5.1961596483171965E-3</v>
      </c>
    </row>
    <row r="190" spans="1:6" x14ac:dyDescent="0.2">
      <c r="A190" s="42">
        <v>45874</v>
      </c>
      <c r="B190" s="43">
        <v>2437.9</v>
      </c>
      <c r="C190" s="43">
        <v>80710.25</v>
      </c>
      <c r="E190" s="45">
        <f t="shared" si="4"/>
        <v>-4.8372282886008401E-3</v>
      </c>
      <c r="F190" s="45">
        <f t="shared" si="5"/>
        <v>-3.8073916744179761E-3</v>
      </c>
    </row>
    <row r="191" spans="1:6" x14ac:dyDescent="0.2">
      <c r="A191" s="42">
        <v>45875</v>
      </c>
      <c r="B191" s="43">
        <v>2491.3000000000002</v>
      </c>
      <c r="C191" s="43">
        <v>80543.990000000005</v>
      </c>
      <c r="E191" s="45">
        <f t="shared" si="4"/>
        <v>2.1904097789080802E-2</v>
      </c>
      <c r="F191" s="45">
        <f t="shared" si="5"/>
        <v>-2.0599614051498385E-3</v>
      </c>
    </row>
    <row r="192" spans="1:6" x14ac:dyDescent="0.2">
      <c r="A192" s="42">
        <v>45876</v>
      </c>
      <c r="B192" s="43">
        <v>2506.1</v>
      </c>
      <c r="C192" s="43">
        <v>80623.259999999995</v>
      </c>
      <c r="E192" s="45">
        <f t="shared" si="4"/>
        <v>5.9406735439327769E-3</v>
      </c>
      <c r="F192" s="45">
        <f t="shared" si="5"/>
        <v>9.8418268079330964E-4</v>
      </c>
    </row>
    <row r="193" spans="1:6" x14ac:dyDescent="0.2">
      <c r="A193" s="42">
        <v>45877</v>
      </c>
      <c r="B193" s="43">
        <v>2475.4</v>
      </c>
      <c r="C193" s="43">
        <v>79857.789999999994</v>
      </c>
      <c r="E193" s="45">
        <f t="shared" si="4"/>
        <v>-1.2250109732253231E-2</v>
      </c>
      <c r="F193" s="45">
        <f t="shared" si="5"/>
        <v>-9.4944064529268752E-3</v>
      </c>
    </row>
    <row r="194" spans="1:6" x14ac:dyDescent="0.2">
      <c r="A194" s="42">
        <v>45880</v>
      </c>
      <c r="B194" s="43">
        <v>2489.6</v>
      </c>
      <c r="C194" s="43">
        <v>80604.08</v>
      </c>
      <c r="E194" s="45">
        <f t="shared" si="4"/>
        <v>5.7364466348872175E-3</v>
      </c>
      <c r="F194" s="45">
        <f t="shared" si="5"/>
        <v>9.3452373275044083E-3</v>
      </c>
    </row>
    <row r="195" spans="1:6" x14ac:dyDescent="0.2">
      <c r="A195" s="42">
        <v>45881</v>
      </c>
      <c r="B195" s="43">
        <v>2478.8000000000002</v>
      </c>
      <c r="C195" s="43">
        <v>80235.59</v>
      </c>
      <c r="E195" s="45">
        <f t="shared" si="4"/>
        <v>-4.3380462724934635E-3</v>
      </c>
      <c r="F195" s="45">
        <f t="shared" si="5"/>
        <v>-4.5716048120641685E-3</v>
      </c>
    </row>
    <row r="196" spans="1:6" x14ac:dyDescent="0.2">
      <c r="A196" s="42">
        <v>45882</v>
      </c>
      <c r="B196" s="43">
        <v>2500.3000000000002</v>
      </c>
      <c r="C196" s="43">
        <v>80539.91</v>
      </c>
      <c r="E196" s="45">
        <f t="shared" si="4"/>
        <v>8.6735517185735026E-3</v>
      </c>
      <c r="F196" s="45">
        <f t="shared" si="5"/>
        <v>3.7928305880221857E-3</v>
      </c>
    </row>
    <row r="197" spans="1:6" x14ac:dyDescent="0.2">
      <c r="A197" s="42">
        <v>45883</v>
      </c>
      <c r="B197" s="43">
        <v>2529.25</v>
      </c>
      <c r="C197" s="43">
        <v>80597.66</v>
      </c>
      <c r="E197" s="45">
        <f t="shared" ref="E197:E249" si="6">(B197-B196)/B196</f>
        <v>1.1578610566731918E-2</v>
      </c>
      <c r="F197" s="45">
        <f t="shared" ref="F197:F249" si="7">(C197-C196)/C196</f>
        <v>7.1703581491461808E-4</v>
      </c>
    </row>
    <row r="198" spans="1:6" x14ac:dyDescent="0.2">
      <c r="A198" s="42">
        <v>45887</v>
      </c>
      <c r="B198" s="43">
        <v>2587.1999999999998</v>
      </c>
      <c r="C198" s="43">
        <v>81273.75</v>
      </c>
      <c r="E198" s="45">
        <f t="shared" si="6"/>
        <v>2.2911930414154322E-2</v>
      </c>
      <c r="F198" s="45">
        <f t="shared" si="7"/>
        <v>8.3884569353501887E-3</v>
      </c>
    </row>
    <row r="199" spans="1:6" x14ac:dyDescent="0.2">
      <c r="A199" s="42">
        <v>45888</v>
      </c>
      <c r="B199" s="43">
        <v>2579.5</v>
      </c>
      <c r="C199" s="43">
        <v>81644.39</v>
      </c>
      <c r="E199" s="45">
        <f t="shared" si="6"/>
        <v>-2.9761904761904062E-3</v>
      </c>
      <c r="F199" s="45">
        <f t="shared" si="7"/>
        <v>4.560390039834503E-3</v>
      </c>
    </row>
    <row r="200" spans="1:6" x14ac:dyDescent="0.2">
      <c r="A200" s="42">
        <v>45889</v>
      </c>
      <c r="B200" s="43">
        <v>2570.0500000000002</v>
      </c>
      <c r="C200" s="43">
        <v>81857.84</v>
      </c>
      <c r="E200" s="45">
        <f t="shared" si="6"/>
        <v>-3.6635006784259808E-3</v>
      </c>
      <c r="F200" s="45">
        <f t="shared" si="7"/>
        <v>2.6143866100291407E-3</v>
      </c>
    </row>
    <row r="201" spans="1:6" x14ac:dyDescent="0.2">
      <c r="A201" s="42">
        <v>45890</v>
      </c>
      <c r="B201" s="43">
        <v>2566.85</v>
      </c>
      <c r="C201" s="43">
        <v>82000.710000000006</v>
      </c>
      <c r="E201" s="45">
        <f t="shared" si="6"/>
        <v>-1.2451119628023861E-3</v>
      </c>
      <c r="F201" s="45">
        <f t="shared" si="7"/>
        <v>1.7453429017918124E-3</v>
      </c>
    </row>
    <row r="202" spans="1:6" x14ac:dyDescent="0.2">
      <c r="A202" s="42">
        <v>45891</v>
      </c>
      <c r="B202" s="43">
        <v>2504.1999999999998</v>
      </c>
      <c r="C202" s="43">
        <v>81306.850000000006</v>
      </c>
      <c r="E202" s="45">
        <f t="shared" si="6"/>
        <v>-2.4407347527124722E-2</v>
      </c>
      <c r="F202" s="45">
        <f t="shared" si="7"/>
        <v>-8.4616340517051688E-3</v>
      </c>
    </row>
    <row r="203" spans="1:6" x14ac:dyDescent="0.2">
      <c r="A203" s="42">
        <v>45894</v>
      </c>
      <c r="B203" s="43">
        <v>2492.6999999999998</v>
      </c>
      <c r="C203" s="43">
        <v>81635.91</v>
      </c>
      <c r="E203" s="45">
        <f t="shared" si="6"/>
        <v>-4.5922849612650748E-3</v>
      </c>
      <c r="F203" s="45">
        <f t="shared" si="7"/>
        <v>4.0471374798064083E-3</v>
      </c>
    </row>
    <row r="204" spans="1:6" x14ac:dyDescent="0.2">
      <c r="A204" s="42">
        <v>45895</v>
      </c>
      <c r="B204" s="43">
        <v>2487.4499999999998</v>
      </c>
      <c r="C204" s="43">
        <v>80786.539999999994</v>
      </c>
      <c r="E204" s="45">
        <f t="shared" si="6"/>
        <v>-2.1061499578770011E-3</v>
      </c>
      <c r="F204" s="45">
        <f t="shared" si="7"/>
        <v>-1.0404367391752108E-2</v>
      </c>
    </row>
    <row r="205" spans="1:6" x14ac:dyDescent="0.2">
      <c r="A205" s="42">
        <v>45897</v>
      </c>
      <c r="B205" s="43">
        <v>2491.15</v>
      </c>
      <c r="C205" s="43">
        <v>80080.570000000007</v>
      </c>
      <c r="E205" s="45">
        <f t="shared" si="6"/>
        <v>1.4874670847656328E-3</v>
      </c>
      <c r="F205" s="45">
        <f t="shared" si="7"/>
        <v>-8.7387082055994311E-3</v>
      </c>
    </row>
    <row r="206" spans="1:6" x14ac:dyDescent="0.2">
      <c r="A206" s="42">
        <v>45898</v>
      </c>
      <c r="B206" s="43">
        <v>2517.4</v>
      </c>
      <c r="C206" s="43">
        <v>79809.649999999994</v>
      </c>
      <c r="E206" s="45">
        <f t="shared" si="6"/>
        <v>1.0537302049254359E-2</v>
      </c>
      <c r="F206" s="45">
        <f t="shared" si="7"/>
        <v>-3.3830928026612793E-3</v>
      </c>
    </row>
    <row r="207" spans="1:6" x14ac:dyDescent="0.2">
      <c r="A207" s="42">
        <v>45901</v>
      </c>
      <c r="B207" s="43">
        <v>2571.1</v>
      </c>
      <c r="C207" s="43">
        <v>80364.490000000005</v>
      </c>
      <c r="E207" s="45">
        <f t="shared" si="6"/>
        <v>2.1331532533566306E-2</v>
      </c>
      <c r="F207" s="45">
        <f t="shared" si="7"/>
        <v>6.9520415137769818E-3</v>
      </c>
    </row>
    <row r="208" spans="1:6" x14ac:dyDescent="0.2">
      <c r="A208" s="42">
        <v>45902</v>
      </c>
      <c r="B208" s="43">
        <v>2538.85</v>
      </c>
      <c r="C208" s="43">
        <v>80157.88</v>
      </c>
      <c r="E208" s="45">
        <f t="shared" si="6"/>
        <v>-1.2543269417758936E-2</v>
      </c>
      <c r="F208" s="45">
        <f t="shared" si="7"/>
        <v>-2.5709116053620269E-3</v>
      </c>
    </row>
    <row r="209" spans="1:6" x14ac:dyDescent="0.2">
      <c r="A209" s="42">
        <v>45903</v>
      </c>
      <c r="B209" s="43">
        <v>2554.4</v>
      </c>
      <c r="C209" s="43">
        <v>80567.710000000006</v>
      </c>
      <c r="E209" s="45">
        <f t="shared" si="6"/>
        <v>6.124820292652257E-3</v>
      </c>
      <c r="F209" s="45">
        <f t="shared" si="7"/>
        <v>5.1127849189624491E-3</v>
      </c>
    </row>
    <row r="210" spans="1:6" x14ac:dyDescent="0.2">
      <c r="A210" s="42">
        <v>45904</v>
      </c>
      <c r="B210" s="43">
        <v>2568.85</v>
      </c>
      <c r="C210" s="43">
        <v>80718.009999999995</v>
      </c>
      <c r="E210" s="45">
        <f t="shared" si="6"/>
        <v>5.6569057312871197E-3</v>
      </c>
      <c r="F210" s="45">
        <f t="shared" si="7"/>
        <v>1.8655116299071718E-3</v>
      </c>
    </row>
    <row r="211" spans="1:6" x14ac:dyDescent="0.2">
      <c r="A211" s="42">
        <v>45905</v>
      </c>
      <c r="B211" s="43">
        <v>2578.9</v>
      </c>
      <c r="C211" s="43">
        <v>80710.759999999995</v>
      </c>
      <c r="E211" s="45">
        <f t="shared" si="6"/>
        <v>3.9122564571696218E-3</v>
      </c>
      <c r="F211" s="45">
        <f t="shared" si="7"/>
        <v>-8.981886446407686E-5</v>
      </c>
    </row>
    <row r="212" spans="1:6" x14ac:dyDescent="0.2">
      <c r="A212" s="42">
        <v>45908</v>
      </c>
      <c r="B212" s="43">
        <v>2529.9499999999998</v>
      </c>
      <c r="C212" s="43">
        <v>80787.3</v>
      </c>
      <c r="E212" s="45">
        <f t="shared" si="6"/>
        <v>-1.8980960874791682E-2</v>
      </c>
      <c r="F212" s="45">
        <f t="shared" si="7"/>
        <v>9.4832461000253444E-4</v>
      </c>
    </row>
    <row r="213" spans="1:6" x14ac:dyDescent="0.2">
      <c r="A213" s="42">
        <v>45909</v>
      </c>
      <c r="B213" s="43">
        <v>2543.15</v>
      </c>
      <c r="C213" s="43">
        <v>81101.320000000007</v>
      </c>
      <c r="E213" s="45">
        <f t="shared" si="6"/>
        <v>5.2174944168858171E-3</v>
      </c>
      <c r="F213" s="45">
        <f t="shared" si="7"/>
        <v>3.8869970898891791E-3</v>
      </c>
    </row>
    <row r="214" spans="1:6" x14ac:dyDescent="0.2">
      <c r="A214" s="42">
        <v>45910</v>
      </c>
      <c r="B214" s="43">
        <v>2542.25</v>
      </c>
      <c r="C214" s="43">
        <v>81425.149999999994</v>
      </c>
      <c r="E214" s="45">
        <f t="shared" si="6"/>
        <v>-3.5389182706489628E-4</v>
      </c>
      <c r="F214" s="45">
        <f t="shared" si="7"/>
        <v>3.9929066505944317E-3</v>
      </c>
    </row>
    <row r="215" spans="1:6" x14ac:dyDescent="0.2">
      <c r="A215" s="42">
        <v>45911</v>
      </c>
      <c r="B215" s="43">
        <v>2555.65</v>
      </c>
      <c r="C215" s="43">
        <v>81548.73</v>
      </c>
      <c r="E215" s="45">
        <f t="shared" si="6"/>
        <v>5.2709214278690497E-3</v>
      </c>
      <c r="F215" s="45">
        <f t="shared" si="7"/>
        <v>1.5177128933751029E-3</v>
      </c>
    </row>
    <row r="216" spans="1:6" x14ac:dyDescent="0.2">
      <c r="A216" s="42">
        <v>45912</v>
      </c>
      <c r="B216" s="43">
        <v>2544.25</v>
      </c>
      <c r="C216" s="43">
        <v>81904.7</v>
      </c>
      <c r="E216" s="45">
        <f t="shared" si="6"/>
        <v>-4.4607047130867253E-3</v>
      </c>
      <c r="F216" s="45">
        <f t="shared" si="7"/>
        <v>4.3651200944515162E-3</v>
      </c>
    </row>
    <row r="217" spans="1:6" x14ac:dyDescent="0.2">
      <c r="A217" s="42">
        <v>45915</v>
      </c>
      <c r="B217" s="43">
        <v>2502.3000000000002</v>
      </c>
      <c r="C217" s="43">
        <v>81785.740000000005</v>
      </c>
      <c r="E217" s="45">
        <f t="shared" si="6"/>
        <v>-1.6488159575513341E-2</v>
      </c>
      <c r="F217" s="45">
        <f t="shared" si="7"/>
        <v>-1.4524197024101408E-3</v>
      </c>
    </row>
    <row r="218" spans="1:6" x14ac:dyDescent="0.2">
      <c r="A218" s="42">
        <v>45916</v>
      </c>
      <c r="B218" s="43">
        <v>2480.5</v>
      </c>
      <c r="C218" s="43">
        <v>82380.69</v>
      </c>
      <c r="E218" s="45">
        <f t="shared" si="6"/>
        <v>-8.711984973824154E-3</v>
      </c>
      <c r="F218" s="45">
        <f t="shared" si="7"/>
        <v>7.2744955294162163E-3</v>
      </c>
    </row>
    <row r="219" spans="1:6" x14ac:dyDescent="0.2">
      <c r="A219" s="42">
        <v>45917</v>
      </c>
      <c r="B219" s="43">
        <v>2493.9499999999998</v>
      </c>
      <c r="C219" s="43">
        <v>82693.710000000006</v>
      </c>
      <c r="E219" s="45">
        <f t="shared" si="6"/>
        <v>5.4222938923603383E-3</v>
      </c>
      <c r="F219" s="45">
        <f t="shared" si="7"/>
        <v>3.7996768417453662E-3</v>
      </c>
    </row>
    <row r="220" spans="1:6" x14ac:dyDescent="0.2">
      <c r="A220" s="42">
        <v>45918</v>
      </c>
      <c r="B220" s="43">
        <v>2478.3000000000002</v>
      </c>
      <c r="C220" s="43">
        <v>83013.960000000006</v>
      </c>
      <c r="E220" s="45">
        <f t="shared" si="6"/>
        <v>-6.2751859499988521E-3</v>
      </c>
      <c r="F220" s="45">
        <f t="shared" si="7"/>
        <v>3.87272502346309E-3</v>
      </c>
    </row>
    <row r="221" spans="1:6" x14ac:dyDescent="0.2">
      <c r="A221" s="42">
        <v>45919</v>
      </c>
      <c r="B221" s="43">
        <v>2484.75</v>
      </c>
      <c r="C221" s="43">
        <v>82626.23</v>
      </c>
      <c r="E221" s="45">
        <f t="shared" si="6"/>
        <v>2.6025904854133147E-3</v>
      </c>
      <c r="F221" s="45">
        <f t="shared" si="7"/>
        <v>-4.670660211848832E-3</v>
      </c>
    </row>
    <row r="222" spans="1:6" x14ac:dyDescent="0.2">
      <c r="A222" s="42">
        <v>45922</v>
      </c>
      <c r="B222" s="43">
        <v>2482.75</v>
      </c>
      <c r="C222" s="43">
        <v>82159.97</v>
      </c>
      <c r="E222" s="45">
        <f t="shared" si="6"/>
        <v>-8.0490995069926554E-4</v>
      </c>
      <c r="F222" s="45">
        <f t="shared" si="7"/>
        <v>-5.6430022282269784E-3</v>
      </c>
    </row>
    <row r="223" spans="1:6" x14ac:dyDescent="0.2">
      <c r="A223" s="42">
        <v>45923</v>
      </c>
      <c r="B223" s="43">
        <v>2447.5</v>
      </c>
      <c r="C223" s="43">
        <v>82102.100000000006</v>
      </c>
      <c r="E223" s="45">
        <f t="shared" si="6"/>
        <v>-1.4197965965159601E-2</v>
      </c>
      <c r="F223" s="45">
        <f t="shared" si="7"/>
        <v>-7.0435760869916753E-4</v>
      </c>
    </row>
    <row r="224" spans="1:6" x14ac:dyDescent="0.2">
      <c r="A224" s="42">
        <v>45924</v>
      </c>
      <c r="B224" s="43">
        <v>2457.85</v>
      </c>
      <c r="C224" s="43">
        <v>81715.63</v>
      </c>
      <c r="E224" s="45">
        <f t="shared" si="6"/>
        <v>4.2288049029621695E-3</v>
      </c>
      <c r="F224" s="45">
        <f t="shared" si="7"/>
        <v>-4.7071877576822171E-3</v>
      </c>
    </row>
    <row r="225" spans="1:6" x14ac:dyDescent="0.2">
      <c r="A225" s="42">
        <v>45925</v>
      </c>
      <c r="B225" s="43">
        <v>2402.9499999999998</v>
      </c>
      <c r="C225" s="43">
        <v>81159.679999999993</v>
      </c>
      <c r="E225" s="45">
        <f t="shared" si="6"/>
        <v>-2.2336594991557698E-2</v>
      </c>
      <c r="F225" s="45">
        <f t="shared" si="7"/>
        <v>-6.8034719918332832E-3</v>
      </c>
    </row>
    <row r="226" spans="1:6" x14ac:dyDescent="0.2">
      <c r="A226" s="42">
        <v>45926</v>
      </c>
      <c r="B226" s="43">
        <v>2342.5</v>
      </c>
      <c r="C226" s="43">
        <v>80426.460000000006</v>
      </c>
      <c r="E226" s="45">
        <f t="shared" si="6"/>
        <v>-2.5156578372417162E-2</v>
      </c>
      <c r="F226" s="45">
        <f t="shared" si="7"/>
        <v>-9.0342889474180604E-3</v>
      </c>
    </row>
    <row r="227" spans="1:6" x14ac:dyDescent="0.2">
      <c r="A227" s="42">
        <v>45929</v>
      </c>
      <c r="B227" s="43">
        <v>2343.65</v>
      </c>
      <c r="C227" s="43">
        <v>80364.94</v>
      </c>
      <c r="E227" s="45">
        <f t="shared" si="6"/>
        <v>4.9092849519747749E-4</v>
      </c>
      <c r="F227" s="45">
        <f t="shared" si="7"/>
        <v>-7.6492238996971984E-4</v>
      </c>
    </row>
    <row r="228" spans="1:6" x14ac:dyDescent="0.2">
      <c r="A228" s="42">
        <v>45930</v>
      </c>
      <c r="B228" s="43">
        <v>2350.15</v>
      </c>
      <c r="C228" s="43">
        <v>80267.62</v>
      </c>
      <c r="E228" s="45">
        <f t="shared" si="6"/>
        <v>2.7734516672711369E-3</v>
      </c>
      <c r="F228" s="45">
        <f t="shared" si="7"/>
        <v>-1.2109758310030092E-3</v>
      </c>
    </row>
    <row r="229" spans="1:6" x14ac:dyDescent="0.2">
      <c r="A229" s="42">
        <v>45931</v>
      </c>
      <c r="B229" s="43">
        <v>2335.65</v>
      </c>
      <c r="C229" s="43">
        <v>80983.31</v>
      </c>
      <c r="E229" s="45">
        <f t="shared" si="6"/>
        <v>-6.1698189477267405E-3</v>
      </c>
      <c r="F229" s="45">
        <f t="shared" si="7"/>
        <v>8.9162977549353314E-3</v>
      </c>
    </row>
    <row r="230" spans="1:6" x14ac:dyDescent="0.2">
      <c r="A230" s="42">
        <v>45933</v>
      </c>
      <c r="B230" s="43">
        <v>2358.3000000000002</v>
      </c>
      <c r="C230" s="43">
        <v>81207.17</v>
      </c>
      <c r="E230" s="45">
        <f t="shared" si="6"/>
        <v>9.6975146104939045E-3</v>
      </c>
      <c r="F230" s="45">
        <f t="shared" si="7"/>
        <v>2.7642732805068177E-3</v>
      </c>
    </row>
    <row r="231" spans="1:6" x14ac:dyDescent="0.2">
      <c r="A231" s="42">
        <v>45936</v>
      </c>
      <c r="B231" s="43">
        <v>2354.3000000000002</v>
      </c>
      <c r="C231" s="43">
        <v>81790.12</v>
      </c>
      <c r="E231" s="45">
        <f t="shared" si="6"/>
        <v>-1.6961370478734681E-3</v>
      </c>
      <c r="F231" s="45">
        <f t="shared" si="7"/>
        <v>7.1785533223235965E-3</v>
      </c>
    </row>
    <row r="232" spans="1:6" x14ac:dyDescent="0.2">
      <c r="A232" s="42">
        <v>45937</v>
      </c>
      <c r="B232" s="43">
        <v>2351.1999999999998</v>
      </c>
      <c r="C232" s="43">
        <v>81926.75</v>
      </c>
      <c r="E232" s="45">
        <f t="shared" si="6"/>
        <v>-1.3167395828910348E-3</v>
      </c>
      <c r="F232" s="45">
        <f t="shared" si="7"/>
        <v>1.6704951649417394E-3</v>
      </c>
    </row>
    <row r="233" spans="1:6" x14ac:dyDescent="0.2">
      <c r="A233" s="42">
        <v>45938</v>
      </c>
      <c r="B233" s="43">
        <v>2326.5500000000002</v>
      </c>
      <c r="C233" s="43">
        <v>81773.66</v>
      </c>
      <c r="E233" s="45">
        <f t="shared" si="6"/>
        <v>-1.0484008166042717E-2</v>
      </c>
      <c r="F233" s="45">
        <f t="shared" si="7"/>
        <v>-1.8686204444823761E-3</v>
      </c>
    </row>
    <row r="234" spans="1:6" x14ac:dyDescent="0.2">
      <c r="A234" s="42">
        <v>45939</v>
      </c>
      <c r="B234" s="43">
        <v>2335.65</v>
      </c>
      <c r="C234" s="43">
        <v>82172.100000000006</v>
      </c>
      <c r="E234" s="45">
        <f t="shared" si="6"/>
        <v>3.9113709140142739E-3</v>
      </c>
      <c r="F234" s="45">
        <f t="shared" si="7"/>
        <v>4.8724736058041469E-3</v>
      </c>
    </row>
    <row r="235" spans="1:6" x14ac:dyDescent="0.2">
      <c r="A235" s="42">
        <v>45940</v>
      </c>
      <c r="B235" s="43">
        <v>2340.3000000000002</v>
      </c>
      <c r="C235" s="43">
        <v>82500.820000000007</v>
      </c>
      <c r="E235" s="45">
        <f t="shared" si="6"/>
        <v>1.9908804829491108E-3</v>
      </c>
      <c r="F235" s="45">
        <f t="shared" si="7"/>
        <v>4.0003845587492735E-3</v>
      </c>
    </row>
    <row r="236" spans="1:6" x14ac:dyDescent="0.2">
      <c r="A236" s="42">
        <v>45943</v>
      </c>
      <c r="B236" s="43">
        <v>2345.25</v>
      </c>
      <c r="C236" s="43">
        <v>82327.05</v>
      </c>
      <c r="E236" s="45">
        <f t="shared" si="6"/>
        <v>2.1151134469938973E-3</v>
      </c>
      <c r="F236" s="45">
        <f t="shared" si="7"/>
        <v>-2.1062820951355883E-3</v>
      </c>
    </row>
    <row r="237" spans="1:6" x14ac:dyDescent="0.2">
      <c r="A237" s="42">
        <v>45944</v>
      </c>
      <c r="B237" s="43">
        <v>2316.6999999999998</v>
      </c>
      <c r="C237" s="43">
        <v>82029.98</v>
      </c>
      <c r="E237" s="45">
        <f t="shared" si="6"/>
        <v>-1.2173542266282989E-2</v>
      </c>
      <c r="F237" s="45">
        <f t="shared" si="7"/>
        <v>-3.6084130307111328E-3</v>
      </c>
    </row>
    <row r="238" spans="1:6" x14ac:dyDescent="0.2">
      <c r="A238" s="42">
        <v>45945</v>
      </c>
      <c r="B238" s="43">
        <v>2374.9</v>
      </c>
      <c r="C238" s="43">
        <v>82605.429999999993</v>
      </c>
      <c r="E238" s="45">
        <f t="shared" si="6"/>
        <v>2.5121940691500963E-2</v>
      </c>
      <c r="F238" s="45">
        <f t="shared" si="7"/>
        <v>7.0151181312002892E-3</v>
      </c>
    </row>
    <row r="239" spans="1:6" x14ac:dyDescent="0.2">
      <c r="A239" s="42">
        <v>45946</v>
      </c>
      <c r="B239" s="43">
        <v>2409.1999999999998</v>
      </c>
      <c r="C239" s="43">
        <v>83467.66</v>
      </c>
      <c r="E239" s="45">
        <f t="shared" si="6"/>
        <v>1.4442713377405249E-2</v>
      </c>
      <c r="F239" s="45">
        <f t="shared" si="7"/>
        <v>1.043793368063105E-2</v>
      </c>
    </row>
    <row r="240" spans="1:6" x14ac:dyDescent="0.2">
      <c r="A240" s="42">
        <v>45947</v>
      </c>
      <c r="B240" s="43">
        <v>2507.65</v>
      </c>
      <c r="C240" s="43">
        <v>83952.19</v>
      </c>
      <c r="E240" s="45">
        <f t="shared" si="6"/>
        <v>4.0864187282085455E-2</v>
      </c>
      <c r="F240" s="45">
        <f t="shared" si="7"/>
        <v>5.8050027998867923E-3</v>
      </c>
    </row>
    <row r="241" spans="1:6" x14ac:dyDescent="0.2">
      <c r="A241" s="42">
        <v>45950</v>
      </c>
      <c r="B241" s="43">
        <v>2513.9499999999998</v>
      </c>
      <c r="C241" s="43">
        <v>84363.37</v>
      </c>
      <c r="E241" s="45">
        <f t="shared" si="6"/>
        <v>2.5123123242875708E-3</v>
      </c>
      <c r="F241" s="45">
        <f t="shared" si="7"/>
        <v>4.8977876574749632E-3</v>
      </c>
    </row>
    <row r="242" spans="1:6" x14ac:dyDescent="0.2">
      <c r="A242" s="42">
        <v>45951</v>
      </c>
      <c r="B242" s="43">
        <v>2508.35</v>
      </c>
      <c r="C242" s="43">
        <v>84426.34</v>
      </c>
      <c r="E242" s="45">
        <f t="shared" si="6"/>
        <v>-2.2275701585154476E-3</v>
      </c>
      <c r="F242" s="45">
        <f t="shared" si="7"/>
        <v>7.4641399460454426E-4</v>
      </c>
    </row>
    <row r="243" spans="1:6" x14ac:dyDescent="0.2">
      <c r="A243" s="42">
        <v>45953</v>
      </c>
      <c r="B243" s="43">
        <v>2501.85</v>
      </c>
      <c r="C243" s="43">
        <v>84556.4</v>
      </c>
      <c r="E243" s="45">
        <f t="shared" si="6"/>
        <v>-2.591344908007256E-3</v>
      </c>
      <c r="F243" s="45">
        <f t="shared" si="7"/>
        <v>1.5405144887246998E-3</v>
      </c>
    </row>
    <row r="244" spans="1:6" x14ac:dyDescent="0.2">
      <c r="A244" s="42">
        <v>45954</v>
      </c>
      <c r="B244" s="43">
        <v>2503.0500000000002</v>
      </c>
      <c r="C244" s="43">
        <v>84211.88</v>
      </c>
      <c r="E244" s="45">
        <f t="shared" si="6"/>
        <v>4.7964506265374537E-4</v>
      </c>
      <c r="F244" s="45">
        <f t="shared" si="7"/>
        <v>-4.074440255261453E-3</v>
      </c>
    </row>
    <row r="245" spans="1:6" x14ac:dyDescent="0.2">
      <c r="A245" s="42">
        <v>45957</v>
      </c>
      <c r="B245" s="43">
        <v>2518</v>
      </c>
      <c r="C245" s="43">
        <v>84778.84</v>
      </c>
      <c r="E245" s="45">
        <f t="shared" si="6"/>
        <v>5.9727132897863877E-3</v>
      </c>
      <c r="F245" s="45">
        <f t="shared" si="7"/>
        <v>6.7325417743908794E-3</v>
      </c>
    </row>
    <row r="246" spans="1:6" x14ac:dyDescent="0.2">
      <c r="A246" s="42">
        <v>45958</v>
      </c>
      <c r="B246" s="43">
        <v>2509.0500000000002</v>
      </c>
      <c r="C246" s="43">
        <v>84628.160000000003</v>
      </c>
      <c r="E246" s="45">
        <f t="shared" si="6"/>
        <v>-3.5544082605241533E-3</v>
      </c>
      <c r="F246" s="45">
        <f t="shared" si="7"/>
        <v>-1.7773302866610705E-3</v>
      </c>
    </row>
    <row r="247" spans="1:6" x14ac:dyDescent="0.2">
      <c r="A247" s="42">
        <v>45959</v>
      </c>
      <c r="B247" s="43">
        <v>2539.65</v>
      </c>
      <c r="C247" s="43">
        <v>84997.13</v>
      </c>
      <c r="E247" s="45">
        <f t="shared" si="6"/>
        <v>1.2195851019310061E-2</v>
      </c>
      <c r="F247" s="45">
        <f t="shared" si="7"/>
        <v>4.3598962803870619E-3</v>
      </c>
    </row>
    <row r="248" spans="1:6" x14ac:dyDescent="0.2">
      <c r="A248" s="42">
        <v>45960</v>
      </c>
      <c r="B248" s="43">
        <v>2523.85</v>
      </c>
      <c r="C248" s="43">
        <v>84404.46</v>
      </c>
      <c r="E248" s="45">
        <f t="shared" si="6"/>
        <v>-6.2213297107869912E-3</v>
      </c>
      <c r="F248" s="45">
        <f t="shared" si="7"/>
        <v>-6.9728236706345049E-3</v>
      </c>
    </row>
    <row r="249" spans="1:6" x14ac:dyDescent="0.2">
      <c r="A249" s="42">
        <v>45961</v>
      </c>
      <c r="B249" s="43">
        <v>2510</v>
      </c>
      <c r="C249" s="43">
        <v>83938.71</v>
      </c>
      <c r="E249" s="45">
        <f t="shared" si="6"/>
        <v>-5.4876478396100837E-3</v>
      </c>
      <c r="F249" s="45">
        <f t="shared" si="7"/>
        <v>-5.5180733340394568E-3</v>
      </c>
    </row>
    <row r="252" spans="1:6" ht="133.25" customHeight="1" x14ac:dyDescent="0.2">
      <c r="A252" s="46" t="s">
        <v>97</v>
      </c>
      <c r="B252" s="47"/>
      <c r="C252" s="47"/>
    </row>
  </sheetData>
  <autoFilter ref="A2:C249" xr:uid="{FD585982-51A4-2241-9E58-9E21FA3BA394}">
    <sortState xmlns:xlrd2="http://schemas.microsoft.com/office/spreadsheetml/2017/richdata2" ref="A3:C249">
      <sortCondition ref="A2:A249"/>
    </sortState>
  </autoFilter>
  <mergeCells count="1">
    <mergeCell ref="A252:C2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Asian Paints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SK</cp:lastModifiedBy>
  <dcterms:created xsi:type="dcterms:W3CDTF">2017-08-09T06:52:36Z</dcterms:created>
  <dcterms:modified xsi:type="dcterms:W3CDTF">2025-11-06T06:04:48Z</dcterms:modified>
</cp:coreProperties>
</file>